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Monthly in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<sst xmlns="http://schemas.openxmlformats.org/spreadsheetml/2006/main" count="94" uniqueCount="68">
  <si>
    <t xml:space="preserve">KPI dashboard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</si>
  <si>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</si>
  <si>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</si>
  <si>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A one-page monthly dashboard of 10 KPIs with targets, trend and red/amber/green status (Module 11).</t>
  </si>
  <si>
    <t xml:space="preserve">How to use it</t>
  </si>
  <si>
    <t xml:space="preserve">1. Each month, fill the next column of the Monthly inputs sheet from the monthly pack.</t>
  </si>
  <si>
    <t xml:space="preserve">2. Set a target, direction (higher or lower is better) and owner for each KPI on the Dashboard sheet.</t>
  </si>
  <si>
    <t xml:space="preserve">3. Read the latest column and status. Ask each owner to explain anything amber or red.</t>
  </si>
  <si>
    <t xml:space="preserve">4. Swap KPIs to suit your business, but keep the definitions written down and unchanged.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</si>
  <si>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</si>
  <si>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</si>
  <si>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</si>
  <si>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</si>
  <si>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Monthly KPI dashboard</t>
  </si>
  <si>
    <t xml:space="preserve">Status compares the latest month with the target. Off target = red, close = amber, on target = green.</t>
  </si>
  <si>
    <t xml:space="preserve">KPI</t>
  </si>
  <si>
    <t xml:space="preserve">Target</t>
  </si>
  <si>
    <t xml:space="preserve">Better if</t>
  </si>
  <si>
    <t xml:space="preserve">Owner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</si>
  <si>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</si>
  <si>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</si>
  <si>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</si>
  <si>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</si>
  <si>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</si>
  <si>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</si>
  <si>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</si>
  <si>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</si>
  <si>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</si>
  <si>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</si>
  <si>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</si>
  <si>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</si>
  <si>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Latest</t>
  </si>
  <si>
    <t xml:space="preserve">Status</t>
  </si>
  <si>
    <t xml:space="preserve">Gross margin</t>
  </si>
  <si>
    <t xml:space="preserve">Higher</t>
  </si>
  <si>
    <t xml:space="preserve">GM</t>
  </si>
  <si>
    <t xml:space="preserve">EBITDA margin</t>
  </si>
  <si>
    <t xml:space="preserve">Book-to-bill</t>
  </si>
  <si>
    <t xml:space="preserve">Sales</t>
  </si>
  <si>
    <t xml:space="preserve">Largest customer share of sales</t>
  </si>
  <si>
    <t xml:space="preserve">Lower</t>
  </si>
  <si>
    <t xml:space="preserve">On time in full (OTIF)</t>
  </si>
  <si>
    <t xml:space="preserve">Production</t>
  </si>
  <si>
    <t xml:space="preserve">Scrap rate</t>
  </si>
  <si>
    <t xml:space="preserve">Days sales outstanding</t>
  </si>
  <si>
    <t xml:space="preserve">Finance</t>
  </si>
  <si>
    <t xml:space="preserve">Inventory days</t>
  </si>
  <si>
    <t xml:space="preserve">Lowest headroom, next 13 weeks</t>
  </si>
  <si>
    <t xml:space="preserve">Net debt ÷ EBITDA</t>
  </si>
  <si>
    <t xml:space="preserve">Definitions: DSO and inventory days annualise the month (× 12). Write down any change of definition here, with the date.</t>
  </si>
  <si>
    <t xml:space="preserve">Monthly inputs for the dashboard</t>
  </si>
  <si>
    <t xml:space="preserve">US dollars unless stated. Fill one column per month; the dashboard calculates the KPIs.</t>
  </si>
  <si>
    <t xml:space="preserve">Input</t>
  </si>
  <si>
    <t xml:space="preserve">Revenue</t>
  </si>
  <si>
    <t xml:space="preserve">Gross profit</t>
  </si>
  <si>
    <t xml:space="preserve">EBITDA for the month</t>
  </si>
  <si>
    <t xml:space="preserve">Orders received</t>
  </si>
  <si>
    <t xml:space="preserve">Sales to largest customer</t>
  </si>
  <si>
    <t xml:space="preserve">Orders delivered on time and in full (count)</t>
  </si>
  <si>
    <t xml:space="preserve">Orders delivered (count)</t>
  </si>
  <si>
    <t xml:space="preserve">Material scrapped ($)</t>
  </si>
  <si>
    <t xml:space="preserve">Material issued to production ($)</t>
  </si>
  <si>
    <t xml:space="preserve">Receivables at month-end</t>
  </si>
  <si>
    <t xml:space="preserve">Inventory at month-end</t>
  </si>
  <si>
    <t xml:space="preserve">Cost of goods sold for the month</t>
  </si>
  <si>
    <t xml:space="preserve">Net debt at month-end</t>
  </si>
  <si>
    <t xml:space="preserve">EBITDA, last 12 months</t>
  </si>
  <si>
    <t xml:space="preserve">Lowest headroom in the next 13 weeks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</si>
</sst>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0.00"/>
    <numFmt numFmtId="167" formatCode="0"/>
    <numFmt numFmtId="168" formatCode="\$#,##0;&quot;($&quot;#,##0\);\-"/>
    <numFmt numFmtId="169" formatCode="0.00\x"/>
    <numFmt numFmtId="170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0CB"/>
        </patternFill>
      </fill>
    </dxf>
    <dxf>
      <fill>
        <patternFill>
          <bgColor rgb="FFFCE8C3"/>
        </patternFill>
      </fill>
    </dxf>
    <dxf>
      <fill>
        <patternFill>
          <bgColor rgb="FFD5EC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CE8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9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16" min="5" style="0" width="9"/>
    <col collapsed="false" customWidth="true" hidden="false" outlineLevel="0" max="17" min="17" style="0" width="10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  <c r="O4" s="8" t="s">
        <v>29</v>
      </c>
      <c r="P4" s="8" t="s">
        <v>30</v>
      </c>
      <c r="Q4" s="8" t="s">
        <v>31</v>
      </c>
      <c r="R4" s="8" t="s">
        <v>32</v>
      </c>
    </row>
    <row r="5" customFormat="false" ht="15" hidden="false" customHeight="false" outlineLevel="0" collapsed="false">
      <c r="A5" s="3" t="s">
        <v>33</v>
      </c>
      <c r="B5" s="9" t="n">
        <v>0.3</v>
      </c>
      <c r="C5" s="5" t="s">
        <v>34</v>
      </c>
      <c r="D5" s="5" t="s">
        <v>35</v>
      </c>
      <c r="E5" s="10" t="n">
        <f aca="false">IF('Monthly inputs'!B5="","",'Monthly inputs'!B6/'Monthly inputs'!B5)</f>
        <v>0.27741935483871</v>
      </c>
      <c r="F5" s="10" t="n">
        <f aca="false">IF('Monthly inputs'!C5="","",'Monthly inputs'!C6/'Monthly inputs'!C5)</f>
        <v>0.280434782608696</v>
      </c>
      <c r="G5" s="10" t="n">
        <f aca="false">IF('Monthly inputs'!D5="","",'Monthly inputs'!D6/'Monthly inputs'!D5)</f>
        <v>0.266666666666667</v>
      </c>
      <c r="H5" s="10" t="str">
        <f aca="false">IF('Monthly inputs'!E5="","",'Monthly inputs'!E6/'Monthly inputs'!E5)</f>
        <v/>
      </c>
      <c r="I5" s="10" t="str">
        <f aca="false">IF('Monthly inputs'!F5="","",'Monthly inputs'!F6/'Monthly inputs'!F5)</f>
        <v/>
      </c>
      <c r="J5" s="10" t="str">
        <f aca="false">IF('Monthly inputs'!G5="","",'Monthly inputs'!G6/'Monthly inputs'!G5)</f>
        <v/>
      </c>
      <c r="K5" s="10" t="str">
        <f aca="false">IF('Monthly inputs'!H5="","",'Monthly inputs'!H6/'Monthly inputs'!H5)</f>
        <v/>
      </c>
      <c r="L5" s="10" t="str">
        <f aca="false">IF('Monthly inputs'!I5="","",'Monthly inputs'!I6/'Monthly inputs'!I5)</f>
        <v/>
      </c>
      <c r="M5" s="10" t="str">
        <f aca="false">IF('Monthly inputs'!J5="","",'Monthly inputs'!J6/'Monthly inputs'!J5)</f>
        <v/>
      </c>
      <c r="N5" s="10" t="str">
        <f aca="false">IF('Monthly inputs'!K5="","",'Monthly inputs'!K6/'Monthly inputs'!K5)</f>
        <v/>
      </c>
      <c r="O5" s="10" t="str">
        <f aca="false">IF('Monthly inputs'!L5="","",'Monthly inputs'!L6/'Monthly inputs'!L5)</f>
        <v/>
      </c>
      <c r="P5" s="10" t="str">
        <f aca="false">IF('Monthly inputs'!M5="","",'Monthly inputs'!M6/'Monthly inputs'!M5)</f>
        <v/>
      </c>
      <c r="Q5" s="11" t="n">
        <f aca="false">IFERROR(LOOKUP(2,1/(E5:P5&lt;&gt;""),E5:P5),"")</f>
        <v>0.266666666666667</v>
      </c>
      <c r="R5" s="12" t="str">
        <f aca="false">IF(Q5="","",IF(C5="Higher",IF(Q5&gt;=B5,"On target",IF(Q5&gt;=B5*0.95,"Close","Off target")),IF(Q5&lt;=B5,"On target",IF(Q5&lt;=B5*1.05,"Close","Off target"))))</f>
        <v>Off target</v>
      </c>
    </row>
    <row r="6" customFormat="false" ht="15" hidden="false" customHeight="false" outlineLevel="0" collapsed="false">
      <c r="A6" s="3" t="s">
        <v>36</v>
      </c>
      <c r="B6" s="9" t="n">
        <v>0.11</v>
      </c>
      <c r="C6" s="5" t="s">
        <v>34</v>
      </c>
      <c r="D6" s="5" t="s">
        <v>35</v>
      </c>
      <c r="E6" s="10" t="n">
        <f aca="false">IF('Monthly inputs'!B5="","",'Monthly inputs'!B7/'Monthly inputs'!B5)</f>
        <v>0.0956989247311828</v>
      </c>
      <c r="F6" s="10" t="n">
        <f aca="false">IF('Monthly inputs'!C5="","",'Monthly inputs'!C7/'Monthly inputs'!C5)</f>
        <v>0.0989130434782609</v>
      </c>
      <c r="G6" s="10" t="n">
        <f aca="false">IF('Monthly inputs'!D5="","",'Monthly inputs'!D7/'Monthly inputs'!D5)</f>
        <v>0.096078431372549</v>
      </c>
      <c r="H6" s="10" t="str">
        <f aca="false">IF('Monthly inputs'!E5="","",'Monthly inputs'!E7/'Monthly inputs'!E5)</f>
        <v/>
      </c>
      <c r="I6" s="10" t="str">
        <f aca="false">IF('Monthly inputs'!F5="","",'Monthly inputs'!F7/'Monthly inputs'!F5)</f>
        <v/>
      </c>
      <c r="J6" s="10" t="str">
        <f aca="false">IF('Monthly inputs'!G5="","",'Monthly inputs'!G7/'Monthly inputs'!G5)</f>
        <v/>
      </c>
      <c r="K6" s="10" t="str">
        <f aca="false">IF('Monthly inputs'!H5="","",'Monthly inputs'!H7/'Monthly inputs'!H5)</f>
        <v/>
      </c>
      <c r="L6" s="10" t="str">
        <f aca="false">IF('Monthly inputs'!I5="","",'Monthly inputs'!I7/'Monthly inputs'!I5)</f>
        <v/>
      </c>
      <c r="M6" s="10" t="str">
        <f aca="false">IF('Monthly inputs'!J5="","",'Monthly inputs'!J7/'Monthly inputs'!J5)</f>
        <v/>
      </c>
      <c r="N6" s="10" t="str">
        <f aca="false">IF('Monthly inputs'!K5="","",'Monthly inputs'!K7/'Monthly inputs'!K5)</f>
        <v/>
      </c>
      <c r="O6" s="10" t="str">
        <f aca="false">IF('Monthly inputs'!L5="","",'Monthly inputs'!L7/'Monthly inputs'!L5)</f>
        <v/>
      </c>
      <c r="P6" s="10" t="str">
        <f aca="false">IF('Monthly inputs'!M5="","",'Monthly inputs'!M7/'Monthly inputs'!M5)</f>
        <v/>
      </c>
      <c r="Q6" s="11" t="n">
        <f aca="false">IFERROR(LOOKUP(2,1/(E6:P6&lt;&gt;""),E6:P6),"")</f>
        <v>0.096078431372549</v>
      </c>
      <c r="R6" s="12" t="str">
        <f aca="false">IF(Q6="","",IF(C6="Higher",IF(Q6&gt;=B6,"On target",IF(Q6&gt;=B6*0.95,"Close","Off target")),IF(Q6&lt;=B6,"On target",IF(Q6&lt;=B6*1.05,"Close","Off target"))))</f>
        <v>Off target</v>
      </c>
    </row>
    <row r="7" customFormat="false" ht="15" hidden="false" customHeight="false" outlineLevel="0" collapsed="false">
      <c r="A7" s="3" t="s">
        <v>37</v>
      </c>
      <c r="B7" s="13" t="n">
        <v>1</v>
      </c>
      <c r="C7" s="5" t="s">
        <v>34</v>
      </c>
      <c r="D7" s="5" t="s">
        <v>38</v>
      </c>
      <c r="E7" s="14" t="n">
        <f aca="false">IF('Monthly inputs'!B5="","",'Monthly inputs'!B8/'Monthly inputs'!B5)</f>
        <v>1.03225806451613</v>
      </c>
      <c r="F7" s="14" t="n">
        <f aca="false">IF('Monthly inputs'!C5="","",'Monthly inputs'!C8/'Monthly inputs'!C5)</f>
        <v>1.06521739130435</v>
      </c>
      <c r="G7" s="14" t="n">
        <f aca="false">IF('Monthly inputs'!D5="","",'Monthly inputs'!D8/'Monthly inputs'!D5)</f>
        <v>1.03921568627451</v>
      </c>
      <c r="H7" s="14" t="str">
        <f aca="false">IF('Monthly inputs'!E5="","",'Monthly inputs'!E8/'Monthly inputs'!E5)</f>
        <v/>
      </c>
      <c r="I7" s="14" t="str">
        <f aca="false">IF('Monthly inputs'!F5="","",'Monthly inputs'!F8/'Monthly inputs'!F5)</f>
        <v/>
      </c>
      <c r="J7" s="14" t="str">
        <f aca="false">IF('Monthly inputs'!G5="","",'Monthly inputs'!G8/'Monthly inputs'!G5)</f>
        <v/>
      </c>
      <c r="K7" s="14" t="str">
        <f aca="false">IF('Monthly inputs'!H5="","",'Monthly inputs'!H8/'Monthly inputs'!H5)</f>
        <v/>
      </c>
      <c r="L7" s="14" t="str">
        <f aca="false">IF('Monthly inputs'!I5="","",'Monthly inputs'!I8/'Monthly inputs'!I5)</f>
        <v/>
      </c>
      <c r="M7" s="14" t="str">
        <f aca="false">IF('Monthly inputs'!J5="","",'Monthly inputs'!J8/'Monthly inputs'!J5)</f>
        <v/>
      </c>
      <c r="N7" s="14" t="str">
        <f aca="false">IF('Monthly inputs'!K5="","",'Monthly inputs'!K8/'Monthly inputs'!K5)</f>
        <v/>
      </c>
      <c r="O7" s="14" t="str">
        <f aca="false">IF('Monthly inputs'!L5="","",'Monthly inputs'!L8/'Monthly inputs'!L5)</f>
        <v/>
      </c>
      <c r="P7" s="14" t="str">
        <f aca="false">IF('Monthly inputs'!M5="","",'Monthly inputs'!M8/'Monthly inputs'!M5)</f>
        <v/>
      </c>
      <c r="Q7" s="15" t="n">
        <f aca="false">IFERROR(LOOKUP(2,1/(E7:P7&lt;&gt;""),E7:P7),"")</f>
        <v>1.03921568627451</v>
      </c>
      <c r="R7" s="12" t="str">
        <f aca="false">IF(Q7="","",IF(C7="Higher",IF(Q7&gt;=B7,"On target",IF(Q7&gt;=B7*0.95,"Close","Off target")),IF(Q7&lt;=B7,"On target",IF(Q7&lt;=B7*1.05,"Close","Off target"))))</f>
        <v>On target</v>
      </c>
    </row>
    <row r="8" customFormat="false" ht="15" hidden="false" customHeight="false" outlineLevel="0" collapsed="false">
      <c r="A8" s="3" t="s">
        <v>39</v>
      </c>
      <c r="B8" s="9" t="n">
        <v>0.2</v>
      </c>
      <c r="C8" s="5" t="s">
        <v>40</v>
      </c>
      <c r="D8" s="5" t="s">
        <v>38</v>
      </c>
      <c r="E8" s="10" t="n">
        <f aca="false">IF('Monthly inputs'!B5="","",'Monthly inputs'!B9/'Monthly inputs'!B5)</f>
        <v>0.225806451612903</v>
      </c>
      <c r="F8" s="10" t="n">
        <f aca="false">IF('Monthly inputs'!C5="","",'Monthly inputs'!C9/'Monthly inputs'!C5)</f>
        <v>0.217391304347826</v>
      </c>
      <c r="G8" s="10" t="n">
        <f aca="false">IF('Monthly inputs'!D5="","",'Monthly inputs'!D9/'Monthly inputs'!D5)</f>
        <v>0.220588235294118</v>
      </c>
      <c r="H8" s="10" t="str">
        <f aca="false">IF('Monthly inputs'!E5="","",'Monthly inputs'!E9/'Monthly inputs'!E5)</f>
        <v/>
      </c>
      <c r="I8" s="10" t="str">
        <f aca="false">IF('Monthly inputs'!F5="","",'Monthly inputs'!F9/'Monthly inputs'!F5)</f>
        <v/>
      </c>
      <c r="J8" s="10" t="str">
        <f aca="false">IF('Monthly inputs'!G5="","",'Monthly inputs'!G9/'Monthly inputs'!G5)</f>
        <v/>
      </c>
      <c r="K8" s="10" t="str">
        <f aca="false">IF('Monthly inputs'!H5="","",'Monthly inputs'!H9/'Monthly inputs'!H5)</f>
        <v/>
      </c>
      <c r="L8" s="10" t="str">
        <f aca="false">IF('Monthly inputs'!I5="","",'Monthly inputs'!I9/'Monthly inputs'!I5)</f>
        <v/>
      </c>
      <c r="M8" s="10" t="str">
        <f aca="false">IF('Monthly inputs'!J5="","",'Monthly inputs'!J9/'Monthly inputs'!J5)</f>
        <v/>
      </c>
      <c r="N8" s="10" t="str">
        <f aca="false">IF('Monthly inputs'!K5="","",'Monthly inputs'!K9/'Monthly inputs'!K5)</f>
        <v/>
      </c>
      <c r="O8" s="10" t="str">
        <f aca="false">IF('Monthly inputs'!L5="","",'Monthly inputs'!L9/'Monthly inputs'!L5)</f>
        <v/>
      </c>
      <c r="P8" s="10" t="str">
        <f aca="false">IF('Monthly inputs'!M5="","",'Monthly inputs'!M9/'Monthly inputs'!M5)</f>
        <v/>
      </c>
      <c r="Q8" s="11" t="n">
        <f aca="false">IFERROR(LOOKUP(2,1/(E8:P8&lt;&gt;""),E8:P8),"")</f>
        <v>0.220588235294118</v>
      </c>
      <c r="R8" s="12" t="str">
        <f aca="false">IF(Q8="","",IF(C8="Higher",IF(Q8&gt;=B8,"On target",IF(Q8&gt;=B8*0.95,"Close","Off target")),IF(Q8&lt;=B8,"On target",IF(Q8&lt;=B8*1.05,"Close","Off target"))))</f>
        <v>Off target</v>
      </c>
    </row>
    <row r="9" customFormat="false" ht="15" hidden="false" customHeight="false" outlineLevel="0" collapsed="false">
      <c r="A9" s="3" t="s">
        <v>41</v>
      </c>
      <c r="B9" s="9" t="n">
        <v>0.95</v>
      </c>
      <c r="C9" s="5" t="s">
        <v>34</v>
      </c>
      <c r="D9" s="5" t="s">
        <v>42</v>
      </c>
      <c r="E9" s="10" t="n">
        <f aca="false">IF('Monthly inputs'!B11="","",'Monthly inputs'!B10/'Monthly inputs'!B11)</f>
        <v>0.866666666666667</v>
      </c>
      <c r="F9" s="10" t="n">
        <f aca="false">IF('Monthly inputs'!C11="","",'Monthly inputs'!C10/'Monthly inputs'!C11)</f>
        <v>0.887096774193548</v>
      </c>
      <c r="G9" s="10" t="n">
        <f aca="false">IF('Monthly inputs'!D11="","",'Monthly inputs'!D10/'Monthly inputs'!D11)</f>
        <v>0.892307692307692</v>
      </c>
      <c r="H9" s="10" t="str">
        <f aca="false">IF('Monthly inputs'!E11="","",'Monthly inputs'!E10/'Monthly inputs'!E11)</f>
        <v/>
      </c>
      <c r="I9" s="10" t="str">
        <f aca="false">IF('Monthly inputs'!F11="","",'Monthly inputs'!F10/'Monthly inputs'!F11)</f>
        <v/>
      </c>
      <c r="J9" s="10" t="str">
        <f aca="false">IF('Monthly inputs'!G11="","",'Monthly inputs'!G10/'Monthly inputs'!G11)</f>
        <v/>
      </c>
      <c r="K9" s="10" t="str">
        <f aca="false">IF('Monthly inputs'!H11="","",'Monthly inputs'!H10/'Monthly inputs'!H11)</f>
        <v/>
      </c>
      <c r="L9" s="10" t="str">
        <f aca="false">IF('Monthly inputs'!I11="","",'Monthly inputs'!I10/'Monthly inputs'!I11)</f>
        <v/>
      </c>
      <c r="M9" s="10" t="str">
        <f aca="false">IF('Monthly inputs'!J11="","",'Monthly inputs'!J10/'Monthly inputs'!J11)</f>
        <v/>
      </c>
      <c r="N9" s="10" t="str">
        <f aca="false">IF('Monthly inputs'!K11="","",'Monthly inputs'!K10/'Monthly inputs'!K11)</f>
        <v/>
      </c>
      <c r="O9" s="10" t="str">
        <f aca="false">IF('Monthly inputs'!L11="","",'Monthly inputs'!L10/'Monthly inputs'!L11)</f>
        <v/>
      </c>
      <c r="P9" s="10" t="str">
        <f aca="false">IF('Monthly inputs'!M11="","",'Monthly inputs'!M10/'Monthly inputs'!M11)</f>
        <v/>
      </c>
      <c r="Q9" s="11" t="n">
        <f aca="false">IFERROR(LOOKUP(2,1/(E9:P9&lt;&gt;""),E9:P9),"")</f>
        <v>0.892307692307692</v>
      </c>
      <c r="R9" s="12" t="str">
        <f aca="false">IF(Q9="","",IF(C9="Higher",IF(Q9&gt;=B9,"On target",IF(Q9&gt;=B9*0.95,"Close","Off target")),IF(Q9&lt;=B9,"On target",IF(Q9&lt;=B9*1.05,"Close","Off target"))))</f>
        <v>Off target</v>
      </c>
    </row>
    <row r="10" customFormat="false" ht="15" hidden="false" customHeight="false" outlineLevel="0" collapsed="false">
      <c r="A10" s="3" t="s">
        <v>43</v>
      </c>
      <c r="B10" s="9" t="n">
        <v>0.03</v>
      </c>
      <c r="C10" s="5" t="s">
        <v>40</v>
      </c>
      <c r="D10" s="5" t="s">
        <v>42</v>
      </c>
      <c r="E10" s="10" t="n">
        <f aca="false">IF('Monthly inputs'!B13="","",'Monthly inputs'!B12/'Monthly inputs'!B13)</f>
        <v>0.0422222222222222</v>
      </c>
      <c r="F10" s="10" t="n">
        <f aca="false">IF('Monthly inputs'!C13="","",'Monthly inputs'!C12/'Monthly inputs'!C13)</f>
        <v>0.0402173913043478</v>
      </c>
      <c r="G10" s="10" t="n">
        <f aca="false">IF('Monthly inputs'!D13="","",'Monthly inputs'!D12/'Monthly inputs'!D13)</f>
        <v>0.0380165289256198</v>
      </c>
      <c r="H10" s="10" t="str">
        <f aca="false">IF('Monthly inputs'!E13="","",'Monthly inputs'!E12/'Monthly inputs'!E13)</f>
        <v/>
      </c>
      <c r="I10" s="10" t="str">
        <f aca="false">IF('Monthly inputs'!F13="","",'Monthly inputs'!F12/'Monthly inputs'!F13)</f>
        <v/>
      </c>
      <c r="J10" s="10" t="str">
        <f aca="false">IF('Monthly inputs'!G13="","",'Monthly inputs'!G12/'Monthly inputs'!G13)</f>
        <v/>
      </c>
      <c r="K10" s="10" t="str">
        <f aca="false">IF('Monthly inputs'!H13="","",'Monthly inputs'!H12/'Monthly inputs'!H13)</f>
        <v/>
      </c>
      <c r="L10" s="10" t="str">
        <f aca="false">IF('Monthly inputs'!I13="","",'Monthly inputs'!I12/'Monthly inputs'!I13)</f>
        <v/>
      </c>
      <c r="M10" s="10" t="str">
        <f aca="false">IF('Monthly inputs'!J13="","",'Monthly inputs'!J12/'Monthly inputs'!J13)</f>
        <v/>
      </c>
      <c r="N10" s="10" t="str">
        <f aca="false">IF('Monthly inputs'!K13="","",'Monthly inputs'!K12/'Monthly inputs'!K13)</f>
        <v/>
      </c>
      <c r="O10" s="10" t="str">
        <f aca="false">IF('Monthly inputs'!L13="","",'Monthly inputs'!L12/'Monthly inputs'!L13)</f>
        <v/>
      </c>
      <c r="P10" s="10" t="str">
        <f aca="false">IF('Monthly inputs'!M13="","",'Monthly inputs'!M12/'Monthly inputs'!M13)</f>
        <v/>
      </c>
      <c r="Q10" s="11" t="n">
        <f aca="false">IFERROR(LOOKUP(2,1/(E10:P10&lt;&gt;""),E10:P10),"")</f>
        <v>0.0380165289256198</v>
      </c>
      <c r="R10" s="12" t="str">
        <f aca="false">IF(Q10="","",IF(C10="Higher",IF(Q10&gt;=B10,"On target",IF(Q10&gt;=B10*0.95,"Close","Off target")),IF(Q10&lt;=B10,"On target",IF(Q10&lt;=B10*1.05,"Close","Off target"))))</f>
        <v>Off target</v>
      </c>
    </row>
    <row r="11" customFormat="false" ht="15" hidden="false" customHeight="false" outlineLevel="0" collapsed="false">
      <c r="A11" s="3" t="s">
        <v>44</v>
      </c>
      <c r="B11" s="16" t="n">
        <v>60</v>
      </c>
      <c r="C11" s="5" t="s">
        <v>40</v>
      </c>
      <c r="D11" s="5" t="s">
        <v>45</v>
      </c>
      <c r="E11" s="17" t="n">
        <f aca="false">IF('Monthly inputs'!B5="","",'Monthly inputs'!B14/('Monthly inputs'!B5*12)*365)</f>
        <v>73.2616487455197</v>
      </c>
      <c r="F11" s="17" t="n">
        <f aca="false">IF('Monthly inputs'!C5="","",'Monthly inputs'!C14/('Monthly inputs'!C5*12)*365)</f>
        <v>72.4048913043478</v>
      </c>
      <c r="G11" s="17" t="n">
        <f aca="false">IF('Monthly inputs'!D5="","",'Monthly inputs'!D14/('Monthly inputs'!D5*12)*365)</f>
        <v>63.8153594771242</v>
      </c>
      <c r="H11" s="17" t="str">
        <f aca="false">IF('Monthly inputs'!E5="","",'Monthly inputs'!E14/('Monthly inputs'!E5*12)*365)</f>
        <v/>
      </c>
      <c r="I11" s="17" t="str">
        <f aca="false">IF('Monthly inputs'!F5="","",'Monthly inputs'!F14/('Monthly inputs'!F5*12)*365)</f>
        <v/>
      </c>
      <c r="J11" s="17" t="str">
        <f aca="false">IF('Monthly inputs'!G5="","",'Monthly inputs'!G14/('Monthly inputs'!G5*12)*365)</f>
        <v/>
      </c>
      <c r="K11" s="17" t="str">
        <f aca="false">IF('Monthly inputs'!H5="","",'Monthly inputs'!H14/('Monthly inputs'!H5*12)*365)</f>
        <v/>
      </c>
      <c r="L11" s="17" t="str">
        <f aca="false">IF('Monthly inputs'!I5="","",'Monthly inputs'!I14/('Monthly inputs'!I5*12)*365)</f>
        <v/>
      </c>
      <c r="M11" s="17" t="str">
        <f aca="false">IF('Monthly inputs'!J5="","",'Monthly inputs'!J14/('Monthly inputs'!J5*12)*365)</f>
        <v/>
      </c>
      <c r="N11" s="17" t="str">
        <f aca="false">IF('Monthly inputs'!K5="","",'Monthly inputs'!K14/('Monthly inputs'!K5*12)*365)</f>
        <v/>
      </c>
      <c r="O11" s="17" t="str">
        <f aca="false">IF('Monthly inputs'!L5="","",'Monthly inputs'!L14/('Monthly inputs'!L5*12)*365)</f>
        <v/>
      </c>
      <c r="P11" s="17" t="str">
        <f aca="false">IF('Monthly inputs'!M5="","",'Monthly inputs'!M14/('Monthly inputs'!M5*12)*365)</f>
        <v/>
      </c>
      <c r="Q11" s="18" t="n">
        <f aca="false">IFERROR(LOOKUP(2,1/(E11:P11&lt;&gt;""),E11:P11),"")</f>
        <v>63.8153594771242</v>
      </c>
      <c r="R11" s="12" t="str">
        <f aca="false">IF(Q11="","",IF(C11="Higher",IF(Q11&gt;=B11,"On target",IF(Q11&gt;=B11*0.95,"Close","Off target")),IF(Q11&lt;=B11,"On target",IF(Q11&lt;=B11*1.05,"Close","Off target"))))</f>
        <v>Off target</v>
      </c>
    </row>
    <row r="12" customFormat="false" ht="15" hidden="false" customHeight="false" outlineLevel="0" collapsed="false">
      <c r="A12" s="3" t="s">
        <v>46</v>
      </c>
      <c r="B12" s="16" t="n">
        <v>85</v>
      </c>
      <c r="C12" s="5" t="s">
        <v>40</v>
      </c>
      <c r="D12" s="5" t="s">
        <v>42</v>
      </c>
      <c r="E12" s="17" t="n">
        <f aca="false">IF('Monthly inputs'!B16="","",'Monthly inputs'!B15/('Monthly inputs'!B16*12)*365)</f>
        <v>112.251984126984</v>
      </c>
      <c r="F12" s="17" t="n">
        <f aca="false">IF('Monthly inputs'!C16="","",'Monthly inputs'!C15/('Monthly inputs'!C16*12)*365)</f>
        <v>110.73136958711</v>
      </c>
      <c r="G12" s="17" t="n">
        <f aca="false">IF('Monthly inputs'!D16="","",'Monthly inputs'!D15/('Monthly inputs'!D16*12)*365)</f>
        <v>98.0002228163993</v>
      </c>
      <c r="H12" s="17" t="str">
        <f aca="false">IF('Monthly inputs'!E16="","",'Monthly inputs'!E15/('Monthly inputs'!E16*12)*365)</f>
        <v/>
      </c>
      <c r="I12" s="17" t="str">
        <f aca="false">IF('Monthly inputs'!F16="","",'Monthly inputs'!F15/('Monthly inputs'!F16*12)*365)</f>
        <v/>
      </c>
      <c r="J12" s="17" t="str">
        <f aca="false">IF('Monthly inputs'!G16="","",'Monthly inputs'!G15/('Monthly inputs'!G16*12)*365)</f>
        <v/>
      </c>
      <c r="K12" s="17" t="str">
        <f aca="false">IF('Monthly inputs'!H16="","",'Monthly inputs'!H15/('Monthly inputs'!H16*12)*365)</f>
        <v/>
      </c>
      <c r="L12" s="17" t="str">
        <f aca="false">IF('Monthly inputs'!I16="","",'Monthly inputs'!I15/('Monthly inputs'!I16*12)*365)</f>
        <v/>
      </c>
      <c r="M12" s="17" t="str">
        <f aca="false">IF('Monthly inputs'!J16="","",'Monthly inputs'!J15/('Monthly inputs'!J16*12)*365)</f>
        <v/>
      </c>
      <c r="N12" s="17" t="str">
        <f aca="false">IF('Monthly inputs'!K16="","",'Monthly inputs'!K15/('Monthly inputs'!K16*12)*365)</f>
        <v/>
      </c>
      <c r="O12" s="17" t="str">
        <f aca="false">IF('Monthly inputs'!L16="","",'Monthly inputs'!L15/('Monthly inputs'!L16*12)*365)</f>
        <v/>
      </c>
      <c r="P12" s="17" t="str">
        <f aca="false">IF('Monthly inputs'!M16="","",'Monthly inputs'!M15/('Monthly inputs'!M16*12)*365)</f>
        <v/>
      </c>
      <c r="Q12" s="18" t="n">
        <f aca="false">IFERROR(LOOKUP(2,1/(E12:P12&lt;&gt;""),E12:P12),"")</f>
        <v>98.0002228163993</v>
      </c>
      <c r="R12" s="12" t="str">
        <f aca="false">IF(Q12="","",IF(C12="Higher",IF(Q12&gt;=B12,"On target",IF(Q12&gt;=B12*0.95,"Close","Off target")),IF(Q12&lt;=B12,"On target",IF(Q12&lt;=B12*1.05,"Close","Off target"))))</f>
        <v>Off target</v>
      </c>
    </row>
    <row r="13" customFormat="false" ht="15" hidden="false" customHeight="false" outlineLevel="0" collapsed="false">
      <c r="A13" s="3" t="s">
        <v>47</v>
      </c>
      <c r="B13" s="19" t="n">
        <v>30000</v>
      </c>
      <c r="C13" s="5" t="s">
        <v>34</v>
      </c>
      <c r="D13" s="5" t="s">
        <v>45</v>
      </c>
      <c r="E13" s="20" t="n">
        <f aca="false">IF('Monthly inputs'!B19="","",'Monthly inputs'!B19)</f>
        <v>61000</v>
      </c>
      <c r="F13" s="20" t="n">
        <f aca="false">IF('Monthly inputs'!C19="","",'Monthly inputs'!C19)</f>
        <v>58000</v>
      </c>
      <c r="G13" s="20" t="n">
        <f aca="false">IF('Monthly inputs'!D19="","",'Monthly inputs'!D19)</f>
        <v>56000</v>
      </c>
      <c r="H13" s="20" t="str">
        <f aca="false">IF('Monthly inputs'!E19="","",'Monthly inputs'!E19)</f>
        <v/>
      </c>
      <c r="I13" s="20" t="str">
        <f aca="false">IF('Monthly inputs'!F19="","",'Monthly inputs'!F19)</f>
        <v/>
      </c>
      <c r="J13" s="20" t="str">
        <f aca="false">IF('Monthly inputs'!G19="","",'Monthly inputs'!G19)</f>
        <v/>
      </c>
      <c r="K13" s="20" t="str">
        <f aca="false">IF('Monthly inputs'!H19="","",'Monthly inputs'!H19)</f>
        <v/>
      </c>
      <c r="L13" s="20" t="str">
        <f aca="false">IF('Monthly inputs'!I19="","",'Monthly inputs'!I19)</f>
        <v/>
      </c>
      <c r="M13" s="20" t="str">
        <f aca="false">IF('Monthly inputs'!J19="","",'Monthly inputs'!J19)</f>
        <v/>
      </c>
      <c r="N13" s="20" t="str">
        <f aca="false">IF('Monthly inputs'!K19="","",'Monthly inputs'!K19)</f>
        <v/>
      </c>
      <c r="O13" s="20" t="str">
        <f aca="false">IF('Monthly inputs'!L19="","",'Monthly inputs'!L19)</f>
        <v/>
      </c>
      <c r="P13" s="20" t="str">
        <f aca="false">IF('Monthly inputs'!M19="","",'Monthly inputs'!M19)</f>
        <v/>
      </c>
      <c r="Q13" s="21" t="n">
        <f aca="false">IFERROR(LOOKUP(2,1/(E13:P13&lt;&gt;""),E13:P13),"")</f>
        <v>56000</v>
      </c>
      <c r="R13" s="12" t="str">
        <f aca="false">IF(Q13="","",IF(C13="Higher",IF(Q13&gt;=B13,"On target",IF(Q13&gt;=B13*0.95,"Close","Off target")),IF(Q13&lt;=B13,"On target",IF(Q13&lt;=B13*1.05,"Close","Off target"))))</f>
        <v>On target</v>
      </c>
    </row>
    <row r="14" customFormat="false" ht="15" hidden="false" customHeight="false" outlineLevel="0" collapsed="false">
      <c r="A14" s="3" t="s">
        <v>48</v>
      </c>
      <c r="B14" s="22" t="n">
        <v>2</v>
      </c>
      <c r="C14" s="5" t="s">
        <v>40</v>
      </c>
      <c r="D14" s="5" t="s">
        <v>35</v>
      </c>
      <c r="E14" s="23" t="n">
        <f aca="false">IF('Monthly inputs'!B18="","",'Monthly inputs'!B17/'Monthly inputs'!B18)</f>
        <v>1.2781954887218</v>
      </c>
      <c r="F14" s="23" t="n">
        <f aca="false">IF('Monthly inputs'!C18="","",'Monthly inputs'!C17/'Monthly inputs'!C18)</f>
        <v>1.2089552238806</v>
      </c>
      <c r="G14" s="23" t="n">
        <f aca="false">IF('Monthly inputs'!D18="","",'Monthly inputs'!D17/'Monthly inputs'!D18)</f>
        <v>1.16969696969697</v>
      </c>
      <c r="H14" s="23" t="str">
        <f aca="false">IF('Monthly inputs'!E18="","",'Monthly inputs'!E17/'Monthly inputs'!E18)</f>
        <v/>
      </c>
      <c r="I14" s="23" t="str">
        <f aca="false">IF('Monthly inputs'!F18="","",'Monthly inputs'!F17/'Monthly inputs'!F18)</f>
        <v/>
      </c>
      <c r="J14" s="23" t="str">
        <f aca="false">IF('Monthly inputs'!G18="","",'Monthly inputs'!G17/'Monthly inputs'!G18)</f>
        <v/>
      </c>
      <c r="K14" s="23" t="str">
        <f aca="false">IF('Monthly inputs'!H18="","",'Monthly inputs'!H17/'Monthly inputs'!H18)</f>
        <v/>
      </c>
      <c r="L14" s="23" t="str">
        <f aca="false">IF('Monthly inputs'!I18="","",'Monthly inputs'!I17/'Monthly inputs'!I18)</f>
        <v/>
      </c>
      <c r="M14" s="23" t="str">
        <f aca="false">IF('Monthly inputs'!J18="","",'Monthly inputs'!J17/'Monthly inputs'!J18)</f>
        <v/>
      </c>
      <c r="N14" s="23" t="str">
        <f aca="false">IF('Monthly inputs'!K18="","",'Monthly inputs'!K17/'Monthly inputs'!K18)</f>
        <v/>
      </c>
      <c r="O14" s="23" t="str">
        <f aca="false">IF('Monthly inputs'!L18="","",'Monthly inputs'!L17/'Monthly inputs'!L18)</f>
        <v/>
      </c>
      <c r="P14" s="23" t="str">
        <f aca="false">IF('Monthly inputs'!M18="","",'Monthly inputs'!M17/'Monthly inputs'!M18)</f>
        <v/>
      </c>
      <c r="Q14" s="24" t="n">
        <f aca="false">IFERROR(LOOKUP(2,1/(E14:P14&lt;&gt;""),E14:P14),"")</f>
        <v>1.16969696969697</v>
      </c>
      <c r="R14" s="12" t="str">
        <f aca="false">IF(Q14="","",IF(C14="Higher",IF(Q14&gt;=B14,"On target",IF(Q14&gt;=B14*0.95,"Close","Off target")),IF(Q14&lt;=B14,"On target",IF(Q14&lt;=B14*1.05,"Close","Off target"))))</f>
        <v>On target</v>
      </c>
    </row>
    <row r="16" customFormat="false" ht="15" hidden="false" customHeight="false" outlineLevel="0" collapsed="false">
      <c r="A16" s="2" t="s">
        <v>49</v>
      </c>
    </row>
  </sheetData>
  <conditionalFormatting sqref="R5:R14">
    <cfRule type="cellIs" priority="2" operator="equal" aboveAverage="0" equalAverage="0" bottom="0" percent="0" rank="0" text="" dxfId="0">
      <formula>"Off target"</formula>
    </cfRule>
    <cfRule type="cellIs" priority="3" operator="equal" aboveAverage="0" equalAverage="0" bottom="0" percent="0" rank="0" text="" dxfId="1">
      <formula>"Close"</formula>
    </cfRule>
    <cfRule type="cellIs" priority="4" operator="equal" aboveAverage="0" equalAverage="0" bottom="0" percent="0" rank="0" text="" dxfId="2">
      <formula>"On target"</formula>
    </cfRule>
  </conditionalFormatting>
  <dataValidations count="1">
    <dataValidation allowBlank="false" errorStyle="stop" operator="between" showDropDown="false" showErrorMessage="false" showInputMessage="false" sqref="C5:C14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7" t="s">
        <v>52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</row>
    <row r="5" customFormat="false" ht="15" hidden="false" customHeight="false" outlineLevel="0" collapsed="false">
      <c r="A5" s="0" t="s">
        <v>53</v>
      </c>
      <c r="B5" s="25" t="n">
        <v>93000</v>
      </c>
      <c r="C5" s="25" t="n">
        <v>92000</v>
      </c>
      <c r="D5" s="25" t="n">
        <v>102000</v>
      </c>
      <c r="E5" s="25"/>
      <c r="F5" s="25"/>
      <c r="G5" s="25"/>
      <c r="H5" s="25"/>
      <c r="I5" s="25"/>
      <c r="J5" s="25"/>
      <c r="K5" s="25"/>
      <c r="L5" s="25"/>
      <c r="M5" s="25"/>
    </row>
    <row r="6" customFormat="false" ht="15" hidden="false" customHeight="false" outlineLevel="0" collapsed="false">
      <c r="A6" s="0" t="s">
        <v>54</v>
      </c>
      <c r="B6" s="25" t="n">
        <v>25800</v>
      </c>
      <c r="C6" s="25" t="n">
        <v>25800</v>
      </c>
      <c r="D6" s="25" t="n">
        <v>27200</v>
      </c>
      <c r="E6" s="25"/>
      <c r="F6" s="25"/>
      <c r="G6" s="25"/>
      <c r="H6" s="25"/>
      <c r="I6" s="25"/>
      <c r="J6" s="25"/>
      <c r="K6" s="25"/>
      <c r="L6" s="25"/>
      <c r="M6" s="25"/>
    </row>
    <row r="7" customFormat="false" ht="15" hidden="false" customHeight="false" outlineLevel="0" collapsed="false">
      <c r="A7" s="0" t="s">
        <v>55</v>
      </c>
      <c r="B7" s="25" t="n">
        <v>8900</v>
      </c>
      <c r="C7" s="25" t="n">
        <v>9100</v>
      </c>
      <c r="D7" s="25" t="n">
        <v>9800</v>
      </c>
      <c r="E7" s="25"/>
      <c r="F7" s="25"/>
      <c r="G7" s="25"/>
      <c r="H7" s="25"/>
      <c r="I7" s="25"/>
      <c r="J7" s="25"/>
      <c r="K7" s="25"/>
      <c r="L7" s="25"/>
      <c r="M7" s="25"/>
    </row>
    <row r="8" customFormat="false" ht="15" hidden="false" customHeight="false" outlineLevel="0" collapsed="false">
      <c r="A8" s="0" t="s">
        <v>56</v>
      </c>
      <c r="B8" s="25" t="n">
        <v>96000</v>
      </c>
      <c r="C8" s="25" t="n">
        <v>98000</v>
      </c>
      <c r="D8" s="25" t="n">
        <v>106000</v>
      </c>
      <c r="E8" s="25"/>
      <c r="F8" s="25"/>
      <c r="G8" s="25"/>
      <c r="H8" s="25"/>
      <c r="I8" s="25"/>
      <c r="J8" s="25"/>
      <c r="K8" s="25"/>
      <c r="L8" s="25"/>
      <c r="M8" s="25"/>
    </row>
    <row r="9" customFormat="false" ht="15" hidden="false" customHeight="false" outlineLevel="0" collapsed="false">
      <c r="A9" s="0" t="s">
        <v>57</v>
      </c>
      <c r="B9" s="25" t="n">
        <v>21000</v>
      </c>
      <c r="C9" s="25" t="n">
        <v>20000</v>
      </c>
      <c r="D9" s="25" t="n">
        <v>22500</v>
      </c>
      <c r="E9" s="25"/>
      <c r="F9" s="25"/>
      <c r="G9" s="25"/>
      <c r="H9" s="25"/>
      <c r="I9" s="25"/>
      <c r="J9" s="25"/>
      <c r="K9" s="25"/>
      <c r="L9" s="25"/>
      <c r="M9" s="25"/>
    </row>
    <row r="10" customFormat="false" ht="15" hidden="false" customHeight="false" outlineLevel="0" collapsed="false">
      <c r="A10" s="0" t="s">
        <v>58</v>
      </c>
      <c r="B10" s="25" t="n">
        <v>52</v>
      </c>
      <c r="C10" s="25" t="n">
        <v>55</v>
      </c>
      <c r="D10" s="25" t="n">
        <v>58</v>
      </c>
      <c r="E10" s="25"/>
      <c r="F10" s="25"/>
      <c r="G10" s="25"/>
      <c r="H10" s="25"/>
      <c r="I10" s="25"/>
      <c r="J10" s="25"/>
      <c r="K10" s="25"/>
      <c r="L10" s="25"/>
      <c r="M10" s="25"/>
    </row>
    <row r="11" customFormat="false" ht="15" hidden="false" customHeight="false" outlineLevel="0" collapsed="false">
      <c r="A11" s="0" t="s">
        <v>59</v>
      </c>
      <c r="B11" s="25" t="n">
        <v>60</v>
      </c>
      <c r="C11" s="25" t="n">
        <v>62</v>
      </c>
      <c r="D11" s="25" t="n">
        <v>65</v>
      </c>
      <c r="E11" s="25"/>
      <c r="F11" s="25"/>
      <c r="G11" s="25"/>
      <c r="H11" s="25"/>
      <c r="I11" s="25"/>
      <c r="J11" s="25"/>
      <c r="K11" s="25"/>
      <c r="L11" s="25"/>
      <c r="M11" s="25"/>
    </row>
    <row r="12" customFormat="false" ht="15" hidden="false" customHeight="false" outlineLevel="0" collapsed="false">
      <c r="A12" s="0" t="s">
        <v>60</v>
      </c>
      <c r="B12" s="25" t="n">
        <v>1900</v>
      </c>
      <c r="C12" s="25" t="n">
        <v>1850</v>
      </c>
      <c r="D12" s="25" t="n">
        <v>1840</v>
      </c>
      <c r="E12" s="25"/>
      <c r="F12" s="25"/>
      <c r="G12" s="25"/>
      <c r="H12" s="25"/>
      <c r="I12" s="25"/>
      <c r="J12" s="25"/>
      <c r="K12" s="25"/>
      <c r="L12" s="25"/>
      <c r="M12" s="25"/>
    </row>
    <row r="13" customFormat="false" ht="15" hidden="false" customHeight="false" outlineLevel="0" collapsed="false">
      <c r="A13" s="0" t="s">
        <v>61</v>
      </c>
      <c r="B13" s="25" t="n">
        <v>45000</v>
      </c>
      <c r="C13" s="25" t="n">
        <v>46000</v>
      </c>
      <c r="D13" s="25" t="n">
        <v>48400</v>
      </c>
      <c r="E13" s="25"/>
      <c r="F13" s="25"/>
      <c r="G13" s="25"/>
      <c r="H13" s="25"/>
      <c r="I13" s="25"/>
      <c r="J13" s="25"/>
      <c r="K13" s="25"/>
      <c r="L13" s="25"/>
      <c r="M13" s="25"/>
    </row>
    <row r="14" customFormat="false" ht="15" hidden="false" customHeight="false" outlineLevel="0" collapsed="false">
      <c r="A14" s="0" t="s">
        <v>62</v>
      </c>
      <c r="B14" s="25" t="n">
        <v>224000</v>
      </c>
      <c r="C14" s="25" t="n">
        <v>219000</v>
      </c>
      <c r="D14" s="25" t="n">
        <v>214000</v>
      </c>
      <c r="E14" s="25"/>
      <c r="F14" s="25"/>
      <c r="G14" s="25"/>
      <c r="H14" s="25"/>
      <c r="I14" s="25"/>
      <c r="J14" s="25"/>
      <c r="K14" s="25"/>
      <c r="L14" s="25"/>
      <c r="M14" s="25"/>
    </row>
    <row r="15" customFormat="false" ht="15" hidden="false" customHeight="false" outlineLevel="0" collapsed="false">
      <c r="A15" s="0" t="s">
        <v>63</v>
      </c>
      <c r="B15" s="25" t="n">
        <v>248000</v>
      </c>
      <c r="C15" s="25" t="n">
        <v>241000</v>
      </c>
      <c r="D15" s="25" t="n">
        <v>241000</v>
      </c>
      <c r="E15" s="25"/>
      <c r="F15" s="25"/>
      <c r="G15" s="25"/>
      <c r="H15" s="25"/>
      <c r="I15" s="25"/>
      <c r="J15" s="25"/>
      <c r="K15" s="25"/>
      <c r="L15" s="25"/>
      <c r="M15" s="25"/>
    </row>
    <row r="16" customFormat="false" ht="15" hidden="false" customHeight="false" outlineLevel="0" collapsed="false">
      <c r="A16" s="0" t="s">
        <v>64</v>
      </c>
      <c r="B16" s="25" t="n">
        <v>67200</v>
      </c>
      <c r="C16" s="25" t="n">
        <v>66200</v>
      </c>
      <c r="D16" s="25" t="n">
        <v>74800</v>
      </c>
      <c r="E16" s="25"/>
      <c r="F16" s="25"/>
      <c r="G16" s="25"/>
      <c r="H16" s="25"/>
      <c r="I16" s="25"/>
      <c r="J16" s="25"/>
      <c r="K16" s="25"/>
      <c r="L16" s="25"/>
      <c r="M16" s="25"/>
    </row>
    <row r="17" customFormat="false" ht="15" hidden="false" customHeight="false" outlineLevel="0" collapsed="false">
      <c r="A17" s="0" t="s">
        <v>65</v>
      </c>
      <c r="B17" s="25" t="n">
        <v>170000</v>
      </c>
      <c r="C17" s="25" t="n">
        <v>162000</v>
      </c>
      <c r="D17" s="25" t="n">
        <v>154400</v>
      </c>
      <c r="E17" s="25"/>
      <c r="F17" s="25"/>
      <c r="G17" s="25"/>
      <c r="H17" s="25"/>
      <c r="I17" s="25"/>
      <c r="J17" s="25"/>
      <c r="K17" s="25"/>
      <c r="L17" s="25"/>
      <c r="M17" s="25"/>
    </row>
    <row r="18" customFormat="false" ht="15" hidden="false" customHeight="false" outlineLevel="0" collapsed="false">
      <c r="A18" s="0" t="s">
        <v>66</v>
      </c>
      <c r="B18" s="25" t="n">
        <v>133000</v>
      </c>
      <c r="C18" s="25" t="n">
        <v>134000</v>
      </c>
      <c r="D18" s="25" t="n">
        <v>132000</v>
      </c>
      <c r="E18" s="25"/>
      <c r="F18" s="25"/>
      <c r="G18" s="25"/>
      <c r="H18" s="25"/>
      <c r="I18" s="25"/>
      <c r="J18" s="25"/>
      <c r="K18" s="25"/>
      <c r="L18" s="25"/>
      <c r="M18" s="25"/>
    </row>
    <row r="19" customFormat="false" ht="15" hidden="false" customHeight="false" outlineLevel="0" collapsed="false">
      <c r="A19" s="0" t="s">
        <v>67</v>
      </c>
      <c r="B19" s="25" t="n">
        <v>61000</v>
      </c>
      <c r="C19" s="25" t="n">
        <v>58000</v>
      </c>
      <c r="D19" s="25" t="n">
        <v>56000</v>
      </c>
      <c r="E19" s="25"/>
      <c r="F19" s="25"/>
      <c r="G19" s="25"/>
      <c r="H19" s="25"/>
      <c r="I19" s="25"/>
      <c r="J19" s="25"/>
      <c r="K19" s="25"/>
      <c r="L19" s="25"/>
      <c r="M19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