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Inputs" sheetId="2" state="visible" r:id="rId4"/>
    <sheet name="Ratios and flags" sheetId="3" state="visible" r:id="rId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Net sales, first line of the income statement. Example from Invacare 10-K, FY2019.</t>
        </r>
      </text>
    </comment>
  </commentList>
</comments>
</file>

<file path=xl/sharedStrings.xml><?xml version="1.0" encoding="utf-8"?>
<sst xmlns="http://schemas.openxmlformats.org/spreadsheetml/2006/main" count="138" uniqueCount="117">
  <si>
    <t xml:space="preserve">Annual report reader</t>
  </si>
  <si>
    <t xml:space="preserve">The GM's Ledger course template. The example figures are Invacare Corporation's, from its published Form 10-K filings (US$ millions): replace them with any company's.</t>
  </si>
  <si>
    <t xml:space="preserve">What it's for</t>
  </si>
  <si>
    <t xml:space="preserve">Turn any company's annual report into ratios and warning signs in ten minutes: a competitor, a customer, a supplier, or your own audited accounts (Module 21).</t>
  </si>
  <si>
    <t xml:space="preserve">How to use it</t>
  </si>
  <si>
    <t xml:space="preserve">1. Type the company name and the report's currency and unit on the Inputs sheet.</t>
  </si>
  <si>
    <t xml:space="preserve">2. Copy up to four years of figures from the statements into the yellow cells. Start with the oldest year in column C.</t>
  </si>
  <si>
    <t xml:space="preserve">3. Leave optional lines blank if the report doesn't give them.</t>
  </si>
  <si>
    <t xml:space="preserve">4. Open Ratios and flags. Read each red warning sign, then find the note or statement that explains it.</t>
  </si>
  <si>
    <t xml:space="preserve">5. Write three sentences: how the company is doing, its biggest risk, and what you'd watch next year.</t>
  </si>
  <si>
    <t xml:space="preserve">Colour legend</t>
  </si>
  <si>
    <t xml:space="preserve">Blue text on yellow: an input. Type your own figures here.</t>
  </si>
  <si>
    <t xml:space="preserve">Black text: a formula. Don't overwrite these.</t>
  </si>
  <si>
    <t xml:space="preserve">Green text: a figure brought in from another sheet.</t>
  </si>
  <si>
    <t xml:space="preserve">Annual report reader: inputs</t>
  </si>
  <si>
    <t xml:space="preserve">Type figures straight from the report, in the report's own currency and unit. Example: Invacare Corporation, US$ millions, from its Form 10-K filings 2019 to 2022.</t>
  </si>
  <si>
    <t xml:space="preserve">Company</t>
  </si>
  <si>
    <t xml:space="preserve">Invacare Corporation</t>
  </si>
  <si>
    <t xml:space="preserve">Currency and unit</t>
  </si>
  <si>
    <t xml:space="preserve">US$ millions</t>
  </si>
  <si>
    <t xml:space="preserve">Line</t>
  </si>
  <si>
    <t xml:space="preserve">Where to find it</t>
  </si>
  <si>
    <t xml:space="preserve">Year 1</t>
  </si>
  <si>
    <t xml:space="preserve">Year 2</t>
  </si>
  <si>
    <t xml:space="preserve">Year 3</t>
  </si>
  <si>
    <t xml:space="preserve">Year 4</t>
  </si>
  <si>
    <t xml:space="preserve">Year</t>
  </si>
  <si>
    <t xml:space="preserve">2019</t>
  </si>
  <si>
    <t xml:space="preserve">2020</t>
  </si>
  <si>
    <t xml:space="preserve">2021</t>
  </si>
  <si>
    <t xml:space="preserve">2022</t>
  </si>
  <si>
    <t xml:space="preserve">Net sales</t>
  </si>
  <si>
    <t xml:space="preserve">Income statement</t>
  </si>
  <si>
    <t xml:space="preserve">Gross profit</t>
  </si>
  <si>
    <t xml:space="preserve">Operating profit (EBIT)</t>
  </si>
  <si>
    <t xml:space="preserve">Depreciation and amortisation (optional)</t>
  </si>
  <si>
    <t xml:space="preserve">Cash flow statement, first lines</t>
  </si>
  <si>
    <t xml:space="preserve">Net profit (loss)</t>
  </si>
  <si>
    <t xml:space="preserve">One-off gains (+) or costs (-) inside operating profit (optional)</t>
  </si>
  <si>
    <t xml:space="preserve">Income statement and notes</t>
  </si>
  <si>
    <t xml:space="preserve">Net cash from operating activities</t>
  </si>
  <si>
    <t xml:space="preserve">Cash flow statement</t>
  </si>
  <si>
    <t xml:space="preserve">Capital spending (type as a positive number)</t>
  </si>
  <si>
    <t xml:space="preserve">Cash flow statement, investing</t>
  </si>
  <si>
    <t xml:space="preserve">Cash and cash equivalents</t>
  </si>
  <si>
    <t xml:space="preserve">Balance sheet</t>
  </si>
  <si>
    <t xml:space="preserve">Trade receivables</t>
  </si>
  <si>
    <t xml:space="preserve">Inventories</t>
  </si>
  <si>
    <t xml:space="preserve">Trade payables (optional)</t>
  </si>
  <si>
    <t xml:space="preserve">Total borrowings</t>
  </si>
  <si>
    <t xml:space="preserve">Balance sheet or debt note</t>
  </si>
  <si>
    <t xml:space="preserve">Total equity</t>
  </si>
  <si>
    <t xml:space="preserve">Total assets (optional)</t>
  </si>
  <si>
    <t xml:space="preserve">Goodwill</t>
  </si>
  <si>
    <t xml:space="preserve">Balance sheet or goodwill note</t>
  </si>
  <si>
    <t xml:space="preserve">Invacare notes: one-off items are impairments (2019, 2021, 2022) and the gain on selling Dynamic Controls (2020). Restructuring costs came every year, so they are left in. Borrowings exclude finance leases, as in the debt note. Source: Invacare Form 10-K filings on SEC EDGAR.</t>
  </si>
  <si>
    <t xml:space="preserve">Leave optional lines blank if the report doesn't give them: the ratios that need them will show n/a.</t>
  </si>
  <si>
    <t xml:space="preserve">Ratios and warning signs</t>
  </si>
  <si>
    <t xml:space="preserve">Ratio</t>
  </si>
  <si>
    <t xml:space="preserve">What it tells you</t>
  </si>
  <si>
    <t xml:space="preserve">Sales growth</t>
  </si>
  <si>
    <t xml:space="preserve">Is the business growing?</t>
  </si>
  <si>
    <t xml:space="preserve">n/a</t>
  </si>
  <si>
    <t xml:space="preserve">Gross margin</t>
  </si>
  <si>
    <t xml:space="preserve">Pricing and factory efficiency</t>
  </si>
  <si>
    <t xml:space="preserve">Operating margin</t>
  </si>
  <si>
    <t xml:space="preserve">Profit from operations per sales dollar</t>
  </si>
  <si>
    <t xml:space="preserve">Underlying operating margin (without one-offs)</t>
  </si>
  <si>
    <t xml:space="preserve">What the ongoing business earned</t>
  </si>
  <si>
    <t xml:space="preserve">EBITDA</t>
  </si>
  <si>
    <t xml:space="preserve">Needs depreciation and amortisation</t>
  </si>
  <si>
    <t xml:space="preserve">Net margin</t>
  </si>
  <si>
    <t xml:space="preserve">What owners keep</t>
  </si>
  <si>
    <t xml:space="preserve">Cash conversion (operating cash flow ÷ EBITDA)</t>
  </si>
  <si>
    <t xml:space="preserve">Is profit turning into cash?</t>
  </si>
  <si>
    <t xml:space="preserve">Free cash flow (operating cash flow − capital spending)</t>
  </si>
  <si>
    <t xml:space="preserve">Can the business pay its own way?</t>
  </si>
  <si>
    <t xml:space="preserve">Free cash flow % of sales</t>
  </si>
  <si>
    <t xml:space="preserve">Days sales outstanding</t>
  </si>
  <si>
    <t xml:space="preserve">How fast customers pay</t>
  </si>
  <si>
    <t xml:space="preserve">Inventory days</t>
  </si>
  <si>
    <t xml:space="preserve">How long stock sits</t>
  </si>
  <si>
    <t xml:space="preserve">Payable days</t>
  </si>
  <si>
    <t xml:space="preserve">How long it takes to pay suppliers</t>
  </si>
  <si>
    <t xml:space="preserve">Net debt (borrowings − cash)</t>
  </si>
  <si>
    <t xml:space="preserve">Net debt ÷ EBITDA</t>
  </si>
  <si>
    <t xml:space="preserve">Years of EBITDA to repay debt</t>
  </si>
  <si>
    <t xml:space="preserve">Debt ÷ equity</t>
  </si>
  <si>
    <t xml:space="preserve">Lenders' money vs owners' money</t>
  </si>
  <si>
    <t xml:space="preserve">Goodwill ÷ equity</t>
  </si>
  <si>
    <t xml:space="preserve">Could a write-down wipe out equity?</t>
  </si>
  <si>
    <t xml:space="preserve">Goodwill ÷ total assets</t>
  </si>
  <si>
    <t xml:space="preserve">Needs total assets</t>
  </si>
  <si>
    <t xml:space="preserve">Warning signs (Module 21)</t>
  </si>
  <si>
    <t xml:space="preserve">Warning sign</t>
  </si>
  <si>
    <t xml:space="preserve">Why it matters</t>
  </si>
  <si>
    <t xml:space="preserve">Free cash flow negative</t>
  </si>
  <si>
    <t xml:space="preserve">The business is spending more than it generates</t>
  </si>
  <si>
    <t xml:space="preserve">Operating cash flow negative</t>
  </si>
  <si>
    <t xml:space="preserve">Day-to-day operations use cash</t>
  </si>
  <si>
    <t xml:space="preserve">Receivables grew faster than sales</t>
  </si>
  <si>
    <t xml:space="preserve">Customers paying slower, or sales quality falling</t>
  </si>
  <si>
    <t xml:space="preserve">-</t>
  </si>
  <si>
    <t xml:space="preserve">Inventory grew faster than sales</t>
  </si>
  <si>
    <t xml:space="preserve">Cash tied up in stock; possible slow-moving stock</t>
  </si>
  <si>
    <t xml:space="preserve">Gross margin fell more than 1 point</t>
  </si>
  <si>
    <t xml:space="preserve">Pricing or cost pressure</t>
  </si>
  <si>
    <t xml:space="preserve">Net debt rose</t>
  </si>
  <si>
    <t xml:space="preserve">More reliance on lenders</t>
  </si>
  <si>
    <t xml:space="preserve">Equity fell by more than the loss</t>
  </si>
  <si>
    <t xml:space="preserve">Other losses going straight to equity: read the statement of changes in equity</t>
  </si>
  <si>
    <t xml:space="preserve">Goodwill larger than equity</t>
  </si>
  <si>
    <t xml:space="preserve">A write-down could wipe out the owners' cushion</t>
  </si>
  <si>
    <t xml:space="preserve">One-offs over half of operating profit</t>
  </si>
  <si>
    <t xml:space="preserve">Headline profit not representative</t>
  </si>
  <si>
    <t xml:space="preserve">Warning signs this year</t>
  </si>
  <si>
    <t xml:space="preserve">Signs are prompts to read further, not verdicts. Check each one against the notes and the cash flow statement.</t>
  </si>
</sst>
</file>

<file path=xl/styles.xml><?xml version="1.0" encoding="utf-8"?>
<styleSheet xmlns="http://schemas.openxmlformats.org/spreadsheetml/2006/main">
  <numFmts count="6">
    <numFmt numFmtId="164" formatCode="General"/>
    <numFmt numFmtId="165" formatCode="#,##0.0;\(#,##0.0\);\-"/>
    <numFmt numFmtId="166" formatCode="0.0%;\(0.0%\);\-"/>
    <numFmt numFmtId="167" formatCode="0"/>
    <numFmt numFmtId="168" formatCode="0.00\x"/>
    <numFmt numFmtId="169"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0"/>
      <name val="Arial"/>
      <family val="0"/>
      <charset val="1"/>
    </font>
    <font>
      <sz val="10"/>
      <color rgb="FF0000FF"/>
      <name val="Arial"/>
      <family val="0"/>
      <charset val="1"/>
    </font>
    <font>
      <sz val="10"/>
      <color rgb="FF008000"/>
      <name val="Arial"/>
      <family val="0"/>
      <charset val="1"/>
    </font>
    <font>
      <b val="true"/>
      <sz val="10"/>
      <color rgb="FFFFFFFF"/>
      <name val="Arial"/>
      <family val="0"/>
      <charset val="1"/>
    </font>
    <font>
      <sz val="10"/>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0C6A61"/>
        <bgColor rgb="FF008080"/>
      </patternFill>
    </fill>
  </fills>
  <borders count="2">
    <border diagonalUp="false" diagonalDown="false">
      <left/>
      <right/>
      <top/>
      <bottom/>
      <diagonal/>
    </border>
    <border diagonalUp="false" diagonalDown="false">
      <left/>
      <right/>
      <top style="thin">
        <color rgb="FF16232A"/>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left" vertical="center" textRotation="0" wrapText="true" indent="0" shrinkToFit="false"/>
      <protection locked="true" hidden="false"/>
    </xf>
    <xf numFmtId="164" fontId="9" fillId="3"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68" fontId="1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9" fontId="6"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D0CB"/>
        </patternFill>
      </fill>
    </dxf>
    <dxf>
      <fill>
        <patternFill>
          <bgColor rgb="FFFCE8C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C6A61"/>
      <rgbColor rgb="FFC0C0C0"/>
      <rgbColor rgb="FF808080"/>
      <rgbColor rgb="FF9999FF"/>
      <rgbColor rgb="FF993366"/>
      <rgbColor rgb="FFFCE8C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D0CB"/>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623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45" hidden="false" customHeight="true" outlineLevel="0" collapsed="false">
      <c r="A5" s="4" t="s">
        <v>3</v>
      </c>
    </row>
    <row r="7" customFormat="false" ht="15" hidden="false" customHeight="false" outlineLevel="0" collapsed="false">
      <c r="A7" s="3" t="s">
        <v>4</v>
      </c>
    </row>
    <row r="8" customFormat="false" ht="30" hidden="false" customHeight="true" outlineLevel="0" collapsed="false">
      <c r="A8" s="4" t="s">
        <v>5</v>
      </c>
    </row>
    <row r="9" customFormat="false" ht="30" hidden="false" customHeight="true" outlineLevel="0" collapsed="false">
      <c r="A9" s="4" t="s">
        <v>6</v>
      </c>
    </row>
    <row r="10" customFormat="false" ht="30" hidden="false" customHeight="true" outlineLevel="0" collapsed="false">
      <c r="A10" s="4" t="s">
        <v>7</v>
      </c>
    </row>
    <row r="11" customFormat="false" ht="30" hidden="false" customHeight="true" outlineLevel="0" collapsed="false">
      <c r="A11" s="4" t="s">
        <v>8</v>
      </c>
    </row>
    <row r="12" customFormat="false" ht="30" hidden="false" customHeight="true" outlineLevel="0" collapsed="false">
      <c r="A12" s="4" t="s">
        <v>9</v>
      </c>
    </row>
    <row r="14" customFormat="false" ht="15" hidden="false" customHeight="false" outlineLevel="0" collapsed="false">
      <c r="A14" s="3" t="s">
        <v>10</v>
      </c>
    </row>
    <row r="15" customFormat="false" ht="15" hidden="false" customHeight="false" outlineLevel="0" collapsed="false">
      <c r="A15" s="5" t="s">
        <v>11</v>
      </c>
    </row>
    <row r="16" customFormat="false" ht="15" hidden="false" customHeight="false" outlineLevel="0" collapsed="false">
      <c r="A16" s="0" t="s">
        <v>12</v>
      </c>
    </row>
    <row r="17" customFormat="false" ht="15" hidden="false" customHeight="false" outlineLevel="0" collapsed="false">
      <c r="A17" s="6"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30"/>
    <col collapsed="false" customWidth="true" hidden="false" outlineLevel="0" max="6" min="3" style="0" width="13"/>
  </cols>
  <sheetData>
    <row r="1" customFormat="false" ht="17.35" hidden="false" customHeight="false" outlineLevel="0" collapsed="false">
      <c r="A1" s="1" t="s">
        <v>14</v>
      </c>
    </row>
    <row r="2" customFormat="false" ht="15" hidden="false" customHeight="false" outlineLevel="0" collapsed="false">
      <c r="A2" s="2" t="s">
        <v>15</v>
      </c>
    </row>
    <row r="3" customFormat="false" ht="15" hidden="false" customHeight="false" outlineLevel="0" collapsed="false">
      <c r="A3" s="3" t="s">
        <v>16</v>
      </c>
      <c r="C3" s="5" t="s">
        <v>17</v>
      </c>
    </row>
    <row r="4" customFormat="false" ht="15" hidden="false" customHeight="false" outlineLevel="0" collapsed="false">
      <c r="A4" s="3" t="s">
        <v>18</v>
      </c>
      <c r="C4" s="5" t="s">
        <v>19</v>
      </c>
    </row>
    <row r="6" customFormat="false" ht="15" hidden="false" customHeight="false" outlineLevel="0" collapsed="false">
      <c r="A6" s="7" t="s">
        <v>20</v>
      </c>
      <c r="B6" s="8" t="s">
        <v>21</v>
      </c>
      <c r="C6" s="8" t="s">
        <v>22</v>
      </c>
      <c r="D6" s="8" t="s">
        <v>23</v>
      </c>
      <c r="E6" s="8" t="s">
        <v>24</v>
      </c>
      <c r="F6" s="8" t="s">
        <v>25</v>
      </c>
    </row>
    <row r="7" customFormat="false" ht="15" hidden="false" customHeight="false" outlineLevel="0" collapsed="false">
      <c r="A7" s="3" t="s">
        <v>26</v>
      </c>
      <c r="B7" s="2"/>
      <c r="C7" s="5" t="s">
        <v>27</v>
      </c>
      <c r="D7" s="5" t="s">
        <v>28</v>
      </c>
      <c r="E7" s="5" t="s">
        <v>29</v>
      </c>
      <c r="F7" s="5" t="s">
        <v>30</v>
      </c>
    </row>
    <row r="8" customFormat="false" ht="15" hidden="false" customHeight="false" outlineLevel="0" collapsed="false">
      <c r="A8" s="9" t="s">
        <v>31</v>
      </c>
      <c r="B8" s="2" t="s">
        <v>32</v>
      </c>
      <c r="C8" s="10" t="n">
        <v>928</v>
      </c>
      <c r="D8" s="10" t="n">
        <v>850.7</v>
      </c>
      <c r="E8" s="10" t="n">
        <v>872.5</v>
      </c>
      <c r="F8" s="10" t="n">
        <v>741.7</v>
      </c>
    </row>
    <row r="9" customFormat="false" ht="15" hidden="false" customHeight="false" outlineLevel="0" collapsed="false">
      <c r="A9" s="9" t="s">
        <v>33</v>
      </c>
      <c r="B9" s="2" t="s">
        <v>32</v>
      </c>
      <c r="C9" s="10" t="n">
        <v>262.1</v>
      </c>
      <c r="D9" s="10" t="n">
        <v>245.3</v>
      </c>
      <c r="E9" s="10" t="n">
        <v>239.1</v>
      </c>
      <c r="F9" s="10" t="n">
        <v>175.4</v>
      </c>
    </row>
    <row r="10" customFormat="false" ht="15" hidden="false" customHeight="false" outlineLevel="0" collapsed="false">
      <c r="A10" s="9" t="s">
        <v>34</v>
      </c>
      <c r="B10" s="2" t="s">
        <v>32</v>
      </c>
      <c r="C10" s="10" t="n">
        <v>-10.4</v>
      </c>
      <c r="D10" s="10" t="n">
        <v>11.3</v>
      </c>
      <c r="E10" s="10" t="n">
        <v>-24.2</v>
      </c>
      <c r="F10" s="10" t="n">
        <v>-80.5</v>
      </c>
    </row>
    <row r="11" customFormat="false" ht="15" hidden="false" customHeight="false" outlineLevel="0" collapsed="false">
      <c r="A11" s="9" t="s">
        <v>35</v>
      </c>
      <c r="B11" s="2" t="s">
        <v>36</v>
      </c>
      <c r="C11" s="10"/>
      <c r="D11" s="10"/>
      <c r="E11" s="10"/>
      <c r="F11" s="10"/>
    </row>
    <row r="12" customFormat="false" ht="15" hidden="false" customHeight="false" outlineLevel="0" collapsed="false">
      <c r="A12" s="9" t="s">
        <v>37</v>
      </c>
      <c r="B12" s="2" t="s">
        <v>32</v>
      </c>
      <c r="C12" s="10" t="n">
        <v>-53.3</v>
      </c>
      <c r="D12" s="10" t="n">
        <v>-28.3</v>
      </c>
      <c r="E12" s="10" t="n">
        <v>-45.6</v>
      </c>
      <c r="F12" s="10" t="n">
        <v>-101.1</v>
      </c>
    </row>
    <row r="13" customFormat="false" ht="15" hidden="false" customHeight="false" outlineLevel="0" collapsed="false">
      <c r="A13" s="9" t="s">
        <v>38</v>
      </c>
      <c r="B13" s="2" t="s">
        <v>39</v>
      </c>
      <c r="C13" s="10" t="n">
        <v>-0.6</v>
      </c>
      <c r="D13" s="10" t="n">
        <v>9.8</v>
      </c>
      <c r="E13" s="10" t="n">
        <v>-28.6</v>
      </c>
      <c r="F13" s="10" t="n">
        <v>-3.3</v>
      </c>
    </row>
    <row r="14" customFormat="false" ht="15" hidden="false" customHeight="false" outlineLevel="0" collapsed="false">
      <c r="A14" s="9" t="s">
        <v>40</v>
      </c>
      <c r="B14" s="2" t="s">
        <v>41</v>
      </c>
      <c r="C14" s="10" t="n">
        <v>2.7</v>
      </c>
      <c r="D14" s="10" t="n">
        <v>21.9</v>
      </c>
      <c r="E14" s="10" t="n">
        <v>-14.3</v>
      </c>
      <c r="F14" s="10" t="n">
        <v>-55.3</v>
      </c>
    </row>
    <row r="15" customFormat="false" ht="15" hidden="false" customHeight="false" outlineLevel="0" collapsed="false">
      <c r="A15" s="9" t="s">
        <v>42</v>
      </c>
      <c r="B15" s="2" t="s">
        <v>43</v>
      </c>
      <c r="C15" s="10" t="n">
        <v>10.9</v>
      </c>
      <c r="D15" s="10" t="n">
        <v>22.3</v>
      </c>
      <c r="E15" s="10" t="n">
        <v>17.7</v>
      </c>
      <c r="F15" s="10" t="n">
        <v>3.8</v>
      </c>
    </row>
    <row r="16" customFormat="false" ht="15" hidden="false" customHeight="false" outlineLevel="0" collapsed="false">
      <c r="A16" s="9" t="s">
        <v>44</v>
      </c>
      <c r="B16" s="2" t="s">
        <v>45</v>
      </c>
      <c r="C16" s="10" t="n">
        <v>80.1</v>
      </c>
      <c r="D16" s="10" t="n">
        <v>105.3</v>
      </c>
      <c r="E16" s="10" t="n">
        <v>83.7</v>
      </c>
      <c r="F16" s="10" t="n">
        <v>58.8</v>
      </c>
    </row>
    <row r="17" customFormat="false" ht="15" hidden="false" customHeight="false" outlineLevel="0" collapsed="false">
      <c r="A17" s="9" t="s">
        <v>46</v>
      </c>
      <c r="B17" s="2" t="s">
        <v>45</v>
      </c>
      <c r="C17" s="10" t="n">
        <v>116.7</v>
      </c>
      <c r="D17" s="10" t="n">
        <v>108.6</v>
      </c>
      <c r="E17" s="10" t="n">
        <v>117.1</v>
      </c>
      <c r="F17" s="10" t="n">
        <v>88</v>
      </c>
    </row>
    <row r="18" customFormat="false" ht="15" hidden="false" customHeight="false" outlineLevel="0" collapsed="false">
      <c r="A18" s="9" t="s">
        <v>47</v>
      </c>
      <c r="B18" s="2" t="s">
        <v>45</v>
      </c>
      <c r="C18" s="10" t="n">
        <v>120.5</v>
      </c>
      <c r="D18" s="10" t="n">
        <v>115.5</v>
      </c>
      <c r="E18" s="10" t="n">
        <v>144.3</v>
      </c>
      <c r="F18" s="10" t="n">
        <v>112.6</v>
      </c>
    </row>
    <row r="19" customFormat="false" ht="15" hidden="false" customHeight="false" outlineLevel="0" collapsed="false">
      <c r="A19" s="9" t="s">
        <v>48</v>
      </c>
      <c r="B19" s="2" t="s">
        <v>45</v>
      </c>
      <c r="C19" s="10"/>
      <c r="D19" s="10"/>
      <c r="E19" s="10"/>
      <c r="F19" s="10"/>
    </row>
    <row r="20" customFormat="false" ht="15" hidden="false" customHeight="false" outlineLevel="0" collapsed="false">
      <c r="A20" s="9" t="s">
        <v>49</v>
      </c>
      <c r="B20" s="2" t="s">
        <v>50</v>
      </c>
      <c r="C20" s="10" t="n">
        <v>219.5</v>
      </c>
      <c r="D20" s="10" t="n">
        <v>245.1</v>
      </c>
      <c r="E20" s="10" t="n">
        <v>308.1</v>
      </c>
      <c r="F20" s="10" t="n">
        <v>354.2</v>
      </c>
    </row>
    <row r="21" customFormat="false" ht="15" hidden="false" customHeight="false" outlineLevel="0" collapsed="false">
      <c r="A21" s="9" t="s">
        <v>51</v>
      </c>
      <c r="B21" s="2" t="s">
        <v>45</v>
      </c>
      <c r="C21" s="10" t="n">
        <v>308.5</v>
      </c>
      <c r="D21" s="10" t="n">
        <v>333.8</v>
      </c>
      <c r="E21" s="10" t="n">
        <v>218.5</v>
      </c>
      <c r="F21" s="10" t="n">
        <v>81.1</v>
      </c>
    </row>
    <row r="22" customFormat="false" ht="15" hidden="false" customHeight="false" outlineLevel="0" collapsed="false">
      <c r="A22" s="9" t="s">
        <v>52</v>
      </c>
      <c r="B22" s="2" t="s">
        <v>45</v>
      </c>
      <c r="C22" s="10"/>
      <c r="D22" s="10"/>
      <c r="E22" s="10"/>
      <c r="F22" s="10"/>
    </row>
    <row r="23" customFormat="false" ht="15" hidden="false" customHeight="false" outlineLevel="0" collapsed="false">
      <c r="A23" s="9" t="s">
        <v>53</v>
      </c>
      <c r="B23" s="2" t="s">
        <v>54</v>
      </c>
      <c r="C23" s="10" t="n">
        <v>373.4</v>
      </c>
      <c r="D23" s="10" t="n">
        <v>402.5</v>
      </c>
      <c r="E23" s="10" t="n">
        <v>355.9</v>
      </c>
      <c r="F23" s="10" t="n">
        <v>326.3</v>
      </c>
    </row>
    <row r="25" customFormat="false" ht="42" hidden="false" customHeight="true" outlineLevel="0" collapsed="false">
      <c r="A25" s="11" t="s">
        <v>55</v>
      </c>
      <c r="B25" s="11"/>
      <c r="C25" s="11"/>
      <c r="D25" s="11"/>
      <c r="E25" s="11"/>
      <c r="F25" s="11"/>
    </row>
    <row r="26" customFormat="false" ht="15" hidden="false" customHeight="false" outlineLevel="0" collapsed="false">
      <c r="A26" s="2" t="s">
        <v>56</v>
      </c>
    </row>
  </sheetData>
  <mergeCells count="1">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46"/>
    <col collapsed="false" customWidth="true" hidden="false" outlineLevel="0" max="6" min="3" style="0" width="12"/>
  </cols>
  <sheetData>
    <row r="1" customFormat="false" ht="17.35" hidden="false" customHeight="false" outlineLevel="0" collapsed="false">
      <c r="A1" s="1" t="s">
        <v>57</v>
      </c>
    </row>
    <row r="2" customFormat="false" ht="15" hidden="false" customHeight="false" outlineLevel="0" collapsed="false">
      <c r="A2" s="2" t="str">
        <f aca="false">"Company: "&amp;Inputs!C3&amp;"   ·   "&amp;Inputs!C4</f>
        <v>Company: Invacare Corporation   ·   US$ millions</v>
      </c>
    </row>
    <row r="4" customFormat="false" ht="15" hidden="false" customHeight="false" outlineLevel="0" collapsed="false">
      <c r="A4" s="7" t="s">
        <v>58</v>
      </c>
      <c r="B4" s="8" t="s">
        <v>59</v>
      </c>
      <c r="C4" s="8" t="s">
        <v>22</v>
      </c>
      <c r="D4" s="8" t="s">
        <v>23</v>
      </c>
      <c r="E4" s="8" t="s">
        <v>24</v>
      </c>
      <c r="F4" s="8" t="s">
        <v>25</v>
      </c>
    </row>
    <row r="5" customFormat="false" ht="15" hidden="false" customHeight="false" outlineLevel="0" collapsed="false">
      <c r="A5" s="3" t="s">
        <v>26</v>
      </c>
      <c r="B5" s="2"/>
      <c r="C5" s="12" t="str">
        <f aca="false">Inputs!C7</f>
        <v>2019</v>
      </c>
      <c r="D5" s="12" t="str">
        <f aca="false">Inputs!D7</f>
        <v>2020</v>
      </c>
      <c r="E5" s="12" t="str">
        <f aca="false">Inputs!E7</f>
        <v>2021</v>
      </c>
      <c r="F5" s="12" t="str">
        <f aca="false">Inputs!F7</f>
        <v>2022</v>
      </c>
    </row>
    <row r="6" customFormat="false" ht="15" hidden="false" customHeight="false" outlineLevel="0" collapsed="false">
      <c r="A6" s="9" t="s">
        <v>60</v>
      </c>
      <c r="B6" s="2" t="s">
        <v>61</v>
      </c>
      <c r="C6" s="13" t="s">
        <v>62</v>
      </c>
      <c r="D6" s="14" t="n">
        <f aca="false">IF(OR(Inputs!C8="",Inputs!C8=0),"n/a",Inputs!D8/Inputs!C8-1)</f>
        <v>-0.0832974137931034</v>
      </c>
      <c r="E6" s="14" t="n">
        <f aca="false">IF(OR(Inputs!D8="",Inputs!D8=0),"n/a",Inputs!E8/Inputs!D8-1)</f>
        <v>0.0256259550958033</v>
      </c>
      <c r="F6" s="14" t="n">
        <f aca="false">IF(OR(Inputs!E8="",Inputs!E8=0),"n/a",Inputs!F8/Inputs!E8-1)</f>
        <v>-0.149914040114613</v>
      </c>
    </row>
    <row r="7" customFormat="false" ht="15" hidden="false" customHeight="false" outlineLevel="0" collapsed="false">
      <c r="A7" s="9" t="s">
        <v>63</v>
      </c>
      <c r="B7" s="2" t="s">
        <v>64</v>
      </c>
      <c r="C7" s="14" t="n">
        <f aca="false">IF(Inputs!C8=0,"n/a",Inputs!C9/Inputs!C8)</f>
        <v>0.282435344827586</v>
      </c>
      <c r="D7" s="14" t="n">
        <f aca="false">IF(Inputs!D8=0,"n/a",Inputs!D9/Inputs!D8)</f>
        <v>0.288350769954155</v>
      </c>
      <c r="E7" s="14" t="n">
        <f aca="false">IF(Inputs!E8=0,"n/a",Inputs!E9/Inputs!E8)</f>
        <v>0.274040114613181</v>
      </c>
      <c r="F7" s="14" t="n">
        <f aca="false">IF(Inputs!F8=0,"n/a",Inputs!F9/Inputs!F8)</f>
        <v>0.236483753539167</v>
      </c>
    </row>
    <row r="8" customFormat="false" ht="15" hidden="false" customHeight="false" outlineLevel="0" collapsed="false">
      <c r="A8" s="9" t="s">
        <v>65</v>
      </c>
      <c r="B8" s="2" t="s">
        <v>66</v>
      </c>
      <c r="C8" s="14" t="n">
        <f aca="false">IF(Inputs!C8=0,"n/a",Inputs!C10/Inputs!C8)</f>
        <v>-0.0112068965517241</v>
      </c>
      <c r="D8" s="14" t="n">
        <f aca="false">IF(Inputs!D8=0,"n/a",Inputs!D10/Inputs!D8)</f>
        <v>0.0132831785588339</v>
      </c>
      <c r="E8" s="14" t="n">
        <f aca="false">IF(Inputs!E8=0,"n/a",Inputs!E10/Inputs!E8)</f>
        <v>-0.0277363896848138</v>
      </c>
      <c r="F8" s="14" t="n">
        <f aca="false">IF(Inputs!F8=0,"n/a",Inputs!F10/Inputs!F8)</f>
        <v>-0.108534447889982</v>
      </c>
    </row>
    <row r="9" customFormat="false" ht="15" hidden="false" customHeight="false" outlineLevel="0" collapsed="false">
      <c r="A9" s="9" t="s">
        <v>67</v>
      </c>
      <c r="B9" s="2" t="s">
        <v>68</v>
      </c>
      <c r="C9" s="14" t="n">
        <f aca="false">IF(Inputs!C8=0,"n/a",(Inputs!C10-N(Inputs!C13))/Inputs!C8)</f>
        <v>-0.0105603448275862</v>
      </c>
      <c r="D9" s="14" t="n">
        <f aca="false">IF(Inputs!D8=0,"n/a",(Inputs!D10-N(Inputs!D13))/Inputs!D8)</f>
        <v>0.00176325379099565</v>
      </c>
      <c r="E9" s="14" t="n">
        <f aca="false">IF(Inputs!E8=0,"n/a",(Inputs!E10-N(Inputs!E13))/Inputs!E8)</f>
        <v>0.00504297994269341</v>
      </c>
      <c r="F9" s="14" t="n">
        <f aca="false">IF(Inputs!F8=0,"n/a",(Inputs!F10-N(Inputs!F13))/Inputs!F8)</f>
        <v>-0.104085209653499</v>
      </c>
    </row>
    <row r="10" customFormat="false" ht="15" hidden="false" customHeight="false" outlineLevel="0" collapsed="false">
      <c r="A10" s="9" t="s">
        <v>69</v>
      </c>
      <c r="B10" s="2" t="s">
        <v>70</v>
      </c>
      <c r="C10" s="15" t="str">
        <f aca="false">IF(Inputs!C11="","n/a",Inputs!C10+Inputs!C11)</f>
        <v>n/a</v>
      </c>
      <c r="D10" s="15" t="str">
        <f aca="false">IF(Inputs!D11="","n/a",Inputs!D10+Inputs!D11)</f>
        <v>n/a</v>
      </c>
      <c r="E10" s="15" t="str">
        <f aca="false">IF(Inputs!E11="","n/a",Inputs!E10+Inputs!E11)</f>
        <v>n/a</v>
      </c>
      <c r="F10" s="15" t="str">
        <f aca="false">IF(Inputs!F11="","n/a",Inputs!F10+Inputs!F11)</f>
        <v>n/a</v>
      </c>
    </row>
    <row r="11" customFormat="false" ht="15" hidden="false" customHeight="false" outlineLevel="0" collapsed="false">
      <c r="A11" s="9" t="s">
        <v>71</v>
      </c>
      <c r="B11" s="2" t="s">
        <v>72</v>
      </c>
      <c r="C11" s="14" t="n">
        <f aca="false">IF(Inputs!C8=0,"n/a",Inputs!C12/Inputs!C8)</f>
        <v>-0.0574353448275862</v>
      </c>
      <c r="D11" s="14" t="n">
        <f aca="false">IF(Inputs!D8=0,"n/a",Inputs!D12/Inputs!D8)</f>
        <v>-0.0332667215234513</v>
      </c>
      <c r="E11" s="14" t="n">
        <f aca="false">IF(Inputs!E8=0,"n/a",Inputs!E12/Inputs!E8)</f>
        <v>-0.0522636103151863</v>
      </c>
      <c r="F11" s="14" t="n">
        <f aca="false">IF(Inputs!F8=0,"n/a",Inputs!F12/Inputs!F8)</f>
        <v>-0.13630848051773</v>
      </c>
    </row>
    <row r="12" customFormat="false" ht="15" hidden="false" customHeight="false" outlineLevel="0" collapsed="false">
      <c r="A12" s="9" t="s">
        <v>73</v>
      </c>
      <c r="B12" s="2" t="s">
        <v>74</v>
      </c>
      <c r="C12" s="14" t="str">
        <f aca="false">IF(OR(Inputs!C11="",Inputs!C10+Inputs!C11&lt;=0),"n/a",Inputs!C14/(Inputs!C10+Inputs!C11))</f>
        <v>n/a</v>
      </c>
      <c r="D12" s="14" t="str">
        <f aca="false">IF(OR(Inputs!D11="",Inputs!D10+Inputs!D11&lt;=0),"n/a",Inputs!D14/(Inputs!D10+Inputs!D11))</f>
        <v>n/a</v>
      </c>
      <c r="E12" s="14" t="str">
        <f aca="false">IF(OR(Inputs!E11="",Inputs!E10+Inputs!E11&lt;=0),"n/a",Inputs!E14/(Inputs!E10+Inputs!E11))</f>
        <v>n/a</v>
      </c>
      <c r="F12" s="14" t="str">
        <f aca="false">IF(OR(Inputs!F11="",Inputs!F10+Inputs!F11&lt;=0),"n/a",Inputs!F14/(Inputs!F10+Inputs!F11))</f>
        <v>n/a</v>
      </c>
    </row>
    <row r="13" customFormat="false" ht="15" hidden="false" customHeight="false" outlineLevel="0" collapsed="false">
      <c r="A13" s="9" t="s">
        <v>75</v>
      </c>
      <c r="B13" s="2" t="s">
        <v>76</v>
      </c>
      <c r="C13" s="15" t="n">
        <f aca="false">Inputs!C14-Inputs!C15</f>
        <v>-8.2</v>
      </c>
      <c r="D13" s="15" t="n">
        <f aca="false">Inputs!D14-Inputs!D15</f>
        <v>-0.400000000000002</v>
      </c>
      <c r="E13" s="15" t="n">
        <f aca="false">Inputs!E14-Inputs!E15</f>
        <v>-32</v>
      </c>
      <c r="F13" s="15" t="n">
        <f aca="false">Inputs!F14-Inputs!F15</f>
        <v>-59.1</v>
      </c>
    </row>
    <row r="14" customFormat="false" ht="15" hidden="false" customHeight="false" outlineLevel="0" collapsed="false">
      <c r="A14" s="9" t="s">
        <v>77</v>
      </c>
      <c r="B14" s="2"/>
      <c r="C14" s="14" t="n">
        <f aca="false">IF(Inputs!C8=0,"n/a",(Inputs!C14-Inputs!C15)/Inputs!C8)</f>
        <v>-0.00883620689655172</v>
      </c>
      <c r="D14" s="14" t="n">
        <f aca="false">IF(Inputs!D8=0,"n/a",(Inputs!D14-Inputs!D15)/Inputs!D8)</f>
        <v>-0.000470201010932176</v>
      </c>
      <c r="E14" s="14" t="n">
        <f aca="false">IF(Inputs!E8=0,"n/a",(Inputs!E14-Inputs!E15)/Inputs!E8)</f>
        <v>-0.036676217765043</v>
      </c>
      <c r="F14" s="14" t="n">
        <f aca="false">IF(Inputs!F8=0,"n/a",(Inputs!F14-Inputs!F15)/Inputs!F8)</f>
        <v>-0.0796818120533909</v>
      </c>
    </row>
    <row r="15" customFormat="false" ht="15" hidden="false" customHeight="false" outlineLevel="0" collapsed="false">
      <c r="A15" s="9" t="s">
        <v>78</v>
      </c>
      <c r="B15" s="2" t="s">
        <v>79</v>
      </c>
      <c r="C15" s="16" t="n">
        <f aca="false">IF(Inputs!C8=0,"n/a",Inputs!C17/Inputs!C8*365)</f>
        <v>45.9003232758621</v>
      </c>
      <c r="D15" s="16" t="n">
        <f aca="false">IF(Inputs!D8=0,"n/a",Inputs!D17/Inputs!D8*365)</f>
        <v>46.5957446808511</v>
      </c>
      <c r="E15" s="16" t="n">
        <f aca="false">IF(Inputs!E8=0,"n/a",Inputs!E17/Inputs!E8*365)</f>
        <v>48.9873925501433</v>
      </c>
      <c r="F15" s="16" t="n">
        <f aca="false">IF(Inputs!F8=0,"n/a",Inputs!F17/Inputs!F8*365)</f>
        <v>43.3059188351085</v>
      </c>
    </row>
    <row r="16" customFormat="false" ht="15" hidden="false" customHeight="false" outlineLevel="0" collapsed="false">
      <c r="A16" s="9" t="s">
        <v>80</v>
      </c>
      <c r="B16" s="2" t="s">
        <v>81</v>
      </c>
      <c r="C16" s="16" t="n">
        <f aca="false">IF(Inputs!C8-Inputs!C9&lt;=0,"n/a",Inputs!C18/(Inputs!C8-Inputs!C9)*365)</f>
        <v>66.0497071632377</v>
      </c>
      <c r="D16" s="16" t="n">
        <f aca="false">IF(Inputs!D8-Inputs!D9&lt;=0,"n/a",Inputs!D18/(Inputs!D8-Inputs!D9)*365)</f>
        <v>69.6357779980178</v>
      </c>
      <c r="E16" s="16" t="n">
        <f aca="false">IF(Inputs!E8-Inputs!E9&lt;=0,"n/a",Inputs!E18/(Inputs!E8-Inputs!E9)*365)</f>
        <v>83.1536154089043</v>
      </c>
      <c r="F16" s="16" t="n">
        <f aca="false">IF(Inputs!F8-Inputs!F9&lt;=0,"n/a",Inputs!F18/(Inputs!F8-Inputs!F9)*365)</f>
        <v>72.5746070987109</v>
      </c>
    </row>
    <row r="17" customFormat="false" ht="15" hidden="false" customHeight="false" outlineLevel="0" collapsed="false">
      <c r="A17" s="9" t="s">
        <v>82</v>
      </c>
      <c r="B17" s="2" t="s">
        <v>83</v>
      </c>
      <c r="C17" s="16" t="str">
        <f aca="false">IF(OR(Inputs!C19="",Inputs!C8-Inputs!C9&lt;=0),"n/a",Inputs!C19/(Inputs!C8-Inputs!C9)*365)</f>
        <v>n/a</v>
      </c>
      <c r="D17" s="16" t="str">
        <f aca="false">IF(OR(Inputs!D19="",Inputs!D8-Inputs!D9&lt;=0),"n/a",Inputs!D19/(Inputs!D8-Inputs!D9)*365)</f>
        <v>n/a</v>
      </c>
      <c r="E17" s="16" t="str">
        <f aca="false">IF(OR(Inputs!E19="",Inputs!E8-Inputs!E9&lt;=0),"n/a",Inputs!E19/(Inputs!E8-Inputs!E9)*365)</f>
        <v>n/a</v>
      </c>
      <c r="F17" s="16" t="str">
        <f aca="false">IF(OR(Inputs!F19="",Inputs!F8-Inputs!F9&lt;=0),"n/a",Inputs!F19/(Inputs!F8-Inputs!F9)*365)</f>
        <v>n/a</v>
      </c>
    </row>
    <row r="18" customFormat="false" ht="15" hidden="false" customHeight="false" outlineLevel="0" collapsed="false">
      <c r="A18" s="9" t="s">
        <v>84</v>
      </c>
      <c r="B18" s="2"/>
      <c r="C18" s="15" t="n">
        <f aca="false">Inputs!C20-Inputs!C16</f>
        <v>139.4</v>
      </c>
      <c r="D18" s="15" t="n">
        <f aca="false">Inputs!D20-Inputs!D16</f>
        <v>139.8</v>
      </c>
      <c r="E18" s="15" t="n">
        <f aca="false">Inputs!E20-Inputs!E16</f>
        <v>224.4</v>
      </c>
      <c r="F18" s="15" t="n">
        <f aca="false">Inputs!F20-Inputs!F16</f>
        <v>295.4</v>
      </c>
    </row>
    <row r="19" customFormat="false" ht="15" hidden="false" customHeight="false" outlineLevel="0" collapsed="false">
      <c r="A19" s="9" t="s">
        <v>85</v>
      </c>
      <c r="B19" s="2" t="s">
        <v>86</v>
      </c>
      <c r="C19" s="17" t="str">
        <f aca="false">IF(OR(Inputs!C11="",Inputs!C10+Inputs!C11&lt;=0),"n/a",(Inputs!C20-Inputs!C16)/(Inputs!C10+Inputs!C11))</f>
        <v>n/a</v>
      </c>
      <c r="D19" s="17" t="str">
        <f aca="false">IF(OR(Inputs!D11="",Inputs!D10+Inputs!D11&lt;=0),"n/a",(Inputs!D20-Inputs!D16)/(Inputs!D10+Inputs!D11))</f>
        <v>n/a</v>
      </c>
      <c r="E19" s="17" t="str">
        <f aca="false">IF(OR(Inputs!E11="",Inputs!E10+Inputs!E11&lt;=0),"n/a",(Inputs!E20-Inputs!E16)/(Inputs!E10+Inputs!E11))</f>
        <v>n/a</v>
      </c>
      <c r="F19" s="17" t="str">
        <f aca="false">IF(OR(Inputs!F11="",Inputs!F10+Inputs!F11&lt;=0),"n/a",(Inputs!F20-Inputs!F16)/(Inputs!F10+Inputs!F11))</f>
        <v>n/a</v>
      </c>
    </row>
    <row r="20" customFormat="false" ht="15" hidden="false" customHeight="false" outlineLevel="0" collapsed="false">
      <c r="A20" s="9" t="s">
        <v>87</v>
      </c>
      <c r="B20" s="2" t="s">
        <v>88</v>
      </c>
      <c r="C20" s="17" t="n">
        <f aca="false">IF(Inputs!C21&lt;=0,"n/a",Inputs!C20/Inputs!C21)</f>
        <v>0.711507293354943</v>
      </c>
      <c r="D20" s="17" t="n">
        <f aca="false">IF(Inputs!D21&lt;=0,"n/a",Inputs!D20/Inputs!D21)</f>
        <v>0.734272019173158</v>
      </c>
      <c r="E20" s="17" t="n">
        <f aca="false">IF(Inputs!E21&lt;=0,"n/a",Inputs!E20/Inputs!E21)</f>
        <v>1.41006864988558</v>
      </c>
      <c r="F20" s="17" t="n">
        <f aca="false">IF(Inputs!F21&lt;=0,"n/a",Inputs!F20/Inputs!F21)</f>
        <v>4.36744759556104</v>
      </c>
    </row>
    <row r="21" customFormat="false" ht="15" hidden="false" customHeight="false" outlineLevel="0" collapsed="false">
      <c r="A21" s="9" t="s">
        <v>89</v>
      </c>
      <c r="B21" s="2" t="s">
        <v>90</v>
      </c>
      <c r="C21" s="17" t="n">
        <f aca="false">IF(Inputs!C21&lt;=0,"n/a",Inputs!C23/Inputs!C21)</f>
        <v>1.21037277147488</v>
      </c>
      <c r="D21" s="17" t="n">
        <f aca="false">IF(Inputs!D21&lt;=0,"n/a",Inputs!D23/Inputs!D21)</f>
        <v>1.20581186339125</v>
      </c>
      <c r="E21" s="17" t="n">
        <f aca="false">IF(Inputs!E21&lt;=0,"n/a",Inputs!E23/Inputs!E21)</f>
        <v>1.62883295194508</v>
      </c>
      <c r="F21" s="17" t="n">
        <f aca="false">IF(Inputs!F21&lt;=0,"n/a",Inputs!F23/Inputs!F21)</f>
        <v>4.02342786683107</v>
      </c>
    </row>
    <row r="22" customFormat="false" ht="15" hidden="false" customHeight="false" outlineLevel="0" collapsed="false">
      <c r="A22" s="9" t="s">
        <v>91</v>
      </c>
      <c r="B22" s="2" t="s">
        <v>92</v>
      </c>
      <c r="C22" s="14" t="str">
        <f aca="false">IF(OR(Inputs!C22="",Inputs!C22=0),"n/a",Inputs!C23/Inputs!C22)</f>
        <v>n/a</v>
      </c>
      <c r="D22" s="14" t="str">
        <f aca="false">IF(OR(Inputs!D22="",Inputs!D22=0),"n/a",Inputs!D23/Inputs!D22)</f>
        <v>n/a</v>
      </c>
      <c r="E22" s="14" t="str">
        <f aca="false">IF(OR(Inputs!E22="",Inputs!E22=0),"n/a",Inputs!E23/Inputs!E22)</f>
        <v>n/a</v>
      </c>
      <c r="F22" s="14" t="str">
        <f aca="false">IF(OR(Inputs!F22="",Inputs!F22=0),"n/a",Inputs!F23/Inputs!F22)</f>
        <v>n/a</v>
      </c>
    </row>
    <row r="24" customFormat="false" ht="15" hidden="false" customHeight="false" outlineLevel="0" collapsed="false">
      <c r="A24" s="3" t="s">
        <v>93</v>
      </c>
    </row>
    <row r="25" customFormat="false" ht="15" hidden="false" customHeight="false" outlineLevel="0" collapsed="false">
      <c r="A25" s="7" t="s">
        <v>94</v>
      </c>
      <c r="B25" s="8" t="s">
        <v>95</v>
      </c>
      <c r="C25" s="8" t="s">
        <v>22</v>
      </c>
      <c r="D25" s="8" t="s">
        <v>23</v>
      </c>
      <c r="E25" s="8" t="s">
        <v>24</v>
      </c>
      <c r="F25" s="8" t="s">
        <v>25</v>
      </c>
    </row>
    <row r="26" customFormat="false" ht="15" hidden="false" customHeight="false" outlineLevel="0" collapsed="false">
      <c r="A26" s="0" t="s">
        <v>96</v>
      </c>
      <c r="B26" s="2" t="s">
        <v>97</v>
      </c>
      <c r="C26" s="18" t="str">
        <f aca="false">IF(Inputs!C14-Inputs!C15&lt;0,"Yes","-")</f>
        <v>Yes</v>
      </c>
      <c r="D26" s="18" t="str">
        <f aca="false">IF(Inputs!D14-Inputs!D15&lt;0,"Yes","-")</f>
        <v>Yes</v>
      </c>
      <c r="E26" s="18" t="str">
        <f aca="false">IF(Inputs!E14-Inputs!E15&lt;0,"Yes","-")</f>
        <v>Yes</v>
      </c>
      <c r="F26" s="18" t="str">
        <f aca="false">IF(Inputs!F14-Inputs!F15&lt;0,"Yes","-")</f>
        <v>Yes</v>
      </c>
    </row>
    <row r="27" customFormat="false" ht="15" hidden="false" customHeight="false" outlineLevel="0" collapsed="false">
      <c r="A27" s="0" t="s">
        <v>98</v>
      </c>
      <c r="B27" s="2" t="s">
        <v>99</v>
      </c>
      <c r="C27" s="18" t="str">
        <f aca="false">IF(Inputs!C14&lt;0,"Yes","-")</f>
        <v>-</v>
      </c>
      <c r="D27" s="18" t="str">
        <f aca="false">IF(Inputs!D14&lt;0,"Yes","-")</f>
        <v>-</v>
      </c>
      <c r="E27" s="18" t="str">
        <f aca="false">IF(Inputs!E14&lt;0,"Yes","-")</f>
        <v>Yes</v>
      </c>
      <c r="F27" s="18" t="str">
        <f aca="false">IF(Inputs!F14&lt;0,"Yes","-")</f>
        <v>Yes</v>
      </c>
    </row>
    <row r="28" customFormat="false" ht="15" hidden="false" customHeight="false" outlineLevel="0" collapsed="false">
      <c r="A28" s="0" t="s">
        <v>100</v>
      </c>
      <c r="B28" s="2" t="s">
        <v>101</v>
      </c>
      <c r="C28" s="18" t="s">
        <v>102</v>
      </c>
      <c r="D28" s="18" t="str">
        <f aca="false">IF(OR(Inputs!C17="",Inputs!C17=0,Inputs!C8=0),"-",IF(Inputs!D17/Inputs!C17&gt;Inputs!D8/Inputs!C8+0.02,"Yes","-"))</f>
        <v>-</v>
      </c>
      <c r="E28" s="18" t="str">
        <f aca="false">IF(OR(Inputs!D17="",Inputs!D17=0,Inputs!D8=0),"-",IF(Inputs!E17/Inputs!D17&gt;Inputs!E8/Inputs!D8+0.02,"Yes","-"))</f>
        <v>Yes</v>
      </c>
      <c r="F28" s="18" t="str">
        <f aca="false">IF(OR(Inputs!E17="",Inputs!E17=0,Inputs!E8=0),"-",IF(Inputs!F17/Inputs!E17&gt;Inputs!F8/Inputs!E8+0.02,"Yes","-"))</f>
        <v>-</v>
      </c>
    </row>
    <row r="29" customFormat="false" ht="15" hidden="false" customHeight="false" outlineLevel="0" collapsed="false">
      <c r="A29" s="0" t="s">
        <v>103</v>
      </c>
      <c r="B29" s="2" t="s">
        <v>104</v>
      </c>
      <c r="C29" s="18" t="s">
        <v>102</v>
      </c>
      <c r="D29" s="18" t="str">
        <f aca="false">IF(OR(Inputs!C18="",Inputs!C18=0,Inputs!C8=0),"-",IF(Inputs!D18/Inputs!C18&gt;Inputs!D8/Inputs!C8+0.02,"Yes","-"))</f>
        <v>Yes</v>
      </c>
      <c r="E29" s="18" t="str">
        <f aca="false">IF(OR(Inputs!D18="",Inputs!D18=0,Inputs!D8=0),"-",IF(Inputs!E18/Inputs!D18&gt;Inputs!E8/Inputs!D8+0.02,"Yes","-"))</f>
        <v>Yes</v>
      </c>
      <c r="F29" s="18" t="str">
        <f aca="false">IF(OR(Inputs!E18="",Inputs!E18=0,Inputs!E8=0),"-",IF(Inputs!F18/Inputs!E18&gt;Inputs!F8/Inputs!E8+0.02,"Yes","-"))</f>
        <v>-</v>
      </c>
    </row>
    <row r="30" customFormat="false" ht="15" hidden="false" customHeight="false" outlineLevel="0" collapsed="false">
      <c r="A30" s="0" t="s">
        <v>105</v>
      </c>
      <c r="B30" s="2" t="s">
        <v>106</v>
      </c>
      <c r="C30" s="18" t="s">
        <v>102</v>
      </c>
      <c r="D30" s="18" t="str">
        <f aca="false">IF(OR(Inputs!D8=0,Inputs!C8=0),"-",IF(Inputs!D9/Inputs!D8&lt;Inputs!C9/Inputs!C8-0.01,"Yes","-"))</f>
        <v>-</v>
      </c>
      <c r="E30" s="18" t="str">
        <f aca="false">IF(OR(Inputs!E8=0,Inputs!D8=0),"-",IF(Inputs!E9/Inputs!E8&lt;Inputs!D9/Inputs!D8-0.01,"Yes","-"))</f>
        <v>Yes</v>
      </c>
      <c r="F30" s="18" t="str">
        <f aca="false">IF(OR(Inputs!F8=0,Inputs!E8=0),"-",IF(Inputs!F9/Inputs!F8&lt;Inputs!E9/Inputs!E8-0.01,"Yes","-"))</f>
        <v>Yes</v>
      </c>
    </row>
    <row r="31" customFormat="false" ht="15" hidden="false" customHeight="false" outlineLevel="0" collapsed="false">
      <c r="A31" s="0" t="s">
        <v>107</v>
      </c>
      <c r="B31" s="2" t="s">
        <v>108</v>
      </c>
      <c r="C31" s="18" t="s">
        <v>102</v>
      </c>
      <c r="D31" s="18" t="str">
        <f aca="false">IF((Inputs!D20-Inputs!D16)&gt;(Inputs!C20-Inputs!C16)+0.005*ABS(Inputs!C20),"Yes","-")</f>
        <v>-</v>
      </c>
      <c r="E31" s="18" t="str">
        <f aca="false">IF((Inputs!E20-Inputs!E16)&gt;(Inputs!D20-Inputs!D16)+0.005*ABS(Inputs!D20),"Yes","-")</f>
        <v>Yes</v>
      </c>
      <c r="F31" s="18" t="str">
        <f aca="false">IF((Inputs!F20-Inputs!F16)&gt;(Inputs!E20-Inputs!E16)+0.005*ABS(Inputs!E20),"Yes","-")</f>
        <v>Yes</v>
      </c>
    </row>
    <row r="32" customFormat="false" ht="15" hidden="false" customHeight="false" outlineLevel="0" collapsed="false">
      <c r="A32" s="0" t="s">
        <v>109</v>
      </c>
      <c r="B32" s="2" t="s">
        <v>110</v>
      </c>
      <c r="C32" s="18" t="s">
        <v>102</v>
      </c>
      <c r="D32" s="18" t="str">
        <f aca="false">IF((Inputs!C21-Inputs!D21)-MAX(0,-Inputs!D12)&gt;0.02*ABS(Inputs!C21),"Yes","-")</f>
        <v>-</v>
      </c>
      <c r="E32" s="18" t="str">
        <f aca="false">IF((Inputs!D21-Inputs!E21)-MAX(0,-Inputs!E12)&gt;0.02*ABS(Inputs!D21),"Yes","-")</f>
        <v>Yes</v>
      </c>
      <c r="F32" s="18" t="str">
        <f aca="false">IF((Inputs!E21-Inputs!F21)-MAX(0,-Inputs!F12)&gt;0.02*ABS(Inputs!E21),"Yes","-")</f>
        <v>Yes</v>
      </c>
    </row>
    <row r="33" customFormat="false" ht="15" hidden="false" customHeight="false" outlineLevel="0" collapsed="false">
      <c r="A33" s="0" t="s">
        <v>111</v>
      </c>
      <c r="B33" s="2" t="s">
        <v>112</v>
      </c>
      <c r="C33" s="18" t="str">
        <f aca="false">IF(Inputs!C23&gt;Inputs!C21,"Yes","-")</f>
        <v>Yes</v>
      </c>
      <c r="D33" s="18" t="str">
        <f aca="false">IF(Inputs!D23&gt;Inputs!D21,"Yes","-")</f>
        <v>Yes</v>
      </c>
      <c r="E33" s="18" t="str">
        <f aca="false">IF(Inputs!E23&gt;Inputs!E21,"Yes","-")</f>
        <v>Yes</v>
      </c>
      <c r="F33" s="18" t="str">
        <f aca="false">IF(Inputs!F23&gt;Inputs!F21,"Yes","-")</f>
        <v>Yes</v>
      </c>
    </row>
    <row r="34" customFormat="false" ht="15" hidden="false" customHeight="false" outlineLevel="0" collapsed="false">
      <c r="A34" s="0" t="s">
        <v>113</v>
      </c>
      <c r="B34" s="2" t="s">
        <v>114</v>
      </c>
      <c r="C34" s="18" t="str">
        <f aca="false">IF(Inputs!C13="","-",IF(ABS(Inputs!C13)&gt;0.5*ABS(Inputs!C10),"Yes","-"))</f>
        <v>-</v>
      </c>
      <c r="D34" s="18" t="str">
        <f aca="false">IF(Inputs!D13="","-",IF(ABS(Inputs!D13)&gt;0.5*ABS(Inputs!D10),"Yes","-"))</f>
        <v>Yes</v>
      </c>
      <c r="E34" s="18" t="str">
        <f aca="false">IF(Inputs!E13="","-",IF(ABS(Inputs!E13)&gt;0.5*ABS(Inputs!E10),"Yes","-"))</f>
        <v>Yes</v>
      </c>
      <c r="F34" s="18" t="str">
        <f aca="false">IF(Inputs!F13="","-",IF(ABS(Inputs!F13)&gt;0.5*ABS(Inputs!F10),"Yes","-"))</f>
        <v>-</v>
      </c>
    </row>
    <row r="35" customFormat="false" ht="15" hidden="false" customHeight="false" outlineLevel="0" collapsed="false">
      <c r="A35" s="3" t="s">
        <v>115</v>
      </c>
      <c r="C35" s="19" t="n">
        <f aca="false">COUNTIF(C26:C34,"Yes")</f>
        <v>2</v>
      </c>
      <c r="D35" s="19" t="n">
        <f aca="false">COUNTIF(D26:D34,"Yes")</f>
        <v>4</v>
      </c>
      <c r="E35" s="19" t="n">
        <f aca="false">COUNTIF(E26:E34,"Yes")</f>
        <v>9</v>
      </c>
      <c r="F35" s="19" t="n">
        <f aca="false">COUNTIF(F26:F34,"Yes")</f>
        <v>6</v>
      </c>
    </row>
    <row r="37" customFormat="false" ht="15" hidden="false" customHeight="false" outlineLevel="0" collapsed="false">
      <c r="A37" s="2" t="s">
        <v>116</v>
      </c>
    </row>
  </sheetData>
  <conditionalFormatting sqref="C26:F34">
    <cfRule type="cellIs" priority="2" operator="equal" aboveAverage="0" equalAverage="0" bottom="0" percent="0" rank="0" text="" dxfId="0">
      <formula>"Yes"</formula>
    </cfRule>
  </conditionalFormatting>
  <conditionalFormatting sqref="C35:F35">
    <cfRule type="cellIs" priority="3" operator="greaterThanOrEqual" aboveAverage="0" equalAverage="0" bottom="0" percent="0" rank="0" text="" dxfId="0">
      <formula>4</formula>
    </cfRule>
    <cfRule type="cellIs" priority="4" operator="between" aboveAverage="0" equalAverage="0" bottom="0" percent="0" rank="0" text="" dxfId="1">
      <formula>2</formula>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2026-10-03T10:25:15Z</dcterms:created>
  <dc:creator>openpyxl</dc:creator>
  <dc:description/>
  <dc:language>en-US</dc:language>
  <cp:lastModifiedBy/>
  <dcterms:modified xsi:type="dcterms:W3CDTF">2026-10-03T10:25:15Z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