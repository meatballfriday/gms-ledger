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Quo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<sst xmlns="http://schemas.openxmlformats.org/spreadsheetml/2006/main" count="50" uniqueCount="48">
  <si>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Export quote calculator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</si>
  <si>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</si>
  <si>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</si>
  <si>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Price an export quote that covers delivery terms, payment terms, commission and currency, for a target margin (Module 12).</t>
  </si>
  <si>
    <t xml:space="preserve">How to use it</t>
  </si>
  <si>
    <t xml:space="preserve">1. Enter the product's full unit cost and variable cost from your costing (Module 6).</t>
  </si>
  <si>
    <t xml:space="preserve">2. Fill the freight table with your forwarder's costs per unit for each Incoterm, then choose the Incoterm for this quote.</t>
  </si>
  <si>
    <t xml:space="preserve">3. Enter commission, currency buffer, payment terms, your borrowing rate and your target margin.</t>
  </si>
  <si>
    <t xml:space="preserve">4. Read the quote price, the zero-margin price and the floor price. Compare with your list price.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</si>
  <si>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</si>
  <si>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</si>
  <si>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</si>
  <si>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</si>
  <si>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US dollars per unit unless stated.</t>
  </si>
  <si>
    <t xml:space="preserve">Freight, insurance and handling per unit, by Incoterm</t>
  </si>
  <si>
    <t xml:space="preserve">Product</t>
  </si>
  <si>
    <t xml:space="preserve">Pressure-relief mattress</t>
  </si>
  <si>
    <t xml:space="preserve">Incoterm</t>
  </si>
  <si>
    <t xml:space="preserve">Cost per unit</t>
  </si>
  <si>
    <t xml:space="preserve">Full unit cost (materials, labour, overhead)</t>
  </si>
  <si>
    <t xml:space="preserve">EXW</t>
  </si>
  <si>
    <t xml:space="preserve">Variable cost per unit (materials and other costs that rise with volume)</t>
  </si>
  <si>
    <t xml:space="preserve">FCA</t>
  </si>
  <si>
    <t xml:space="preserve">Incoterm for this quote</t>
  </si>
  <si>
    <t xml:space="preserve">CIF</t>
  </si>
  <si>
    <t xml:space="preserve">FOB</t>
  </si>
  <si>
    <t xml:space="preserve">Import duty you pay, % of price (DDP only)</t>
  </si>
  <si>
    <t xml:space="preserve">Sales commission or agent fee</t>
  </si>
  <si>
    <t xml:space="preserve">DAP</t>
  </si>
  <si>
    <t xml:space="preserve">Currency buffer (if quoting in another currency)</t>
  </si>
  <si>
    <t xml:space="preserve">DDP</t>
  </si>
  <si>
    <t xml:space="preserve">Customer payment terms (days)</t>
  </si>
  <si>
    <t xml:space="preserve">Your cost of borrowing (a year)</t>
  </si>
  <si>
    <t xml:space="preserve">Target margin after all costs</t>
  </si>
  <si>
    <t xml:space="preserve">Your list price</t>
  </si>
  <si>
    <t xml:space="preserve">Quantity on this order</t>
  </si>
  <si>
    <t xml:space="preserve">Results</t>
  </si>
  <si>
    <t xml:space="preserve">Freight and handling for the chosen Incoterm</t>
  </si>
  <si>
    <t xml:space="preserve">Cost of waiting to be paid, % of price</t>
  </si>
  <si>
    <t xml:space="preserve">Duty, % of price (only if DDP)</t>
  </si>
  <si>
    <t xml:space="preserve">All percentage costs</t>
  </si>
  <si>
    <t xml:space="preserve">Quote price at target margin</t>
  </si>
  <si>
    <t xml:space="preserve">Price that just covers full cost (zero margin)</t>
  </si>
  <si>
    <t xml:space="preserve">Floor price: covers variable cost only</t>
  </si>
  <si>
    <t xml:space="preserve">Margin if you quote your list price</t>
  </si>
  <si>
    <t xml:space="preserve">Order value at the quote price</t>
  </si>
  <si>
    <t xml:space="preserve">Order contribution at the quote price</t>
  </si>
  <si>
    <t xml:space="preserve">Never quote below the floor price. Between the floor and the zero-margin price only with spare capacity and no risk to your normal prices (Module 13).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</si>
</sst>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6232A"/>
      </top>
      <bottom style="double">
        <color rgb="FF1623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8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CE8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D3" s="3" t="s">
        <v>14</v>
      </c>
    </row>
    <row r="4" customFormat="false" ht="15" hidden="false" customHeight="false" outlineLevel="0" collapsed="false">
      <c r="A4" s="0" t="s">
        <v>15</v>
      </c>
      <c r="B4" s="5" t="s">
        <v>16</v>
      </c>
      <c r="D4" s="7" t="s">
        <v>17</v>
      </c>
      <c r="E4" s="8" t="s">
        <v>18</v>
      </c>
    </row>
    <row r="5" customFormat="false" ht="15" hidden="false" customHeight="false" outlineLevel="0" collapsed="false">
      <c r="A5" s="0" t="s">
        <v>19</v>
      </c>
      <c r="B5" s="9" t="n">
        <v>125.4</v>
      </c>
      <c r="D5" s="10" t="s">
        <v>20</v>
      </c>
      <c r="E5" s="9" t="n">
        <v>0</v>
      </c>
    </row>
    <row r="6" customFormat="false" ht="15" hidden="false" customHeight="false" outlineLevel="0" collapsed="false">
      <c r="A6" s="0" t="s">
        <v>21</v>
      </c>
      <c r="B6" s="9" t="n">
        <v>95</v>
      </c>
      <c r="D6" s="10" t="s">
        <v>22</v>
      </c>
      <c r="E6" s="9" t="n">
        <v>2</v>
      </c>
    </row>
    <row r="7" customFormat="false" ht="15" hidden="false" customHeight="false" outlineLevel="0" collapsed="false">
      <c r="A7" s="0" t="s">
        <v>23</v>
      </c>
      <c r="B7" s="5" t="s">
        <v>24</v>
      </c>
      <c r="D7" s="10" t="s">
        <v>25</v>
      </c>
      <c r="E7" s="9" t="n">
        <v>3</v>
      </c>
    </row>
    <row r="8" customFormat="false" ht="15" hidden="false" customHeight="false" outlineLevel="0" collapsed="false">
      <c r="A8" s="0" t="s">
        <v>26</v>
      </c>
      <c r="B8" s="11" t="n">
        <v>0.03</v>
      </c>
      <c r="D8" s="10" t="s">
        <v>24</v>
      </c>
      <c r="E8" s="9" t="n">
        <v>14</v>
      </c>
    </row>
    <row r="9" customFormat="false" ht="15" hidden="false" customHeight="false" outlineLevel="0" collapsed="false">
      <c r="A9" s="0" t="s">
        <v>27</v>
      </c>
      <c r="B9" s="11" t="n">
        <v>0.02</v>
      </c>
      <c r="D9" s="10" t="s">
        <v>28</v>
      </c>
      <c r="E9" s="9" t="n">
        <v>19</v>
      </c>
    </row>
    <row r="10" customFormat="false" ht="15" hidden="false" customHeight="false" outlineLevel="0" collapsed="false">
      <c r="A10" s="0" t="s">
        <v>29</v>
      </c>
      <c r="B10" s="11" t="n">
        <v>0</v>
      </c>
      <c r="D10" s="10" t="s">
        <v>30</v>
      </c>
      <c r="E10" s="9" t="n">
        <v>22</v>
      </c>
    </row>
    <row r="11" customFormat="false" ht="15" hidden="false" customHeight="false" outlineLevel="0" collapsed="false">
      <c r="A11" s="0" t="s">
        <v>31</v>
      </c>
      <c r="B11" s="12" t="n">
        <v>60</v>
      </c>
    </row>
    <row r="12" customFormat="false" ht="15" hidden="false" customHeight="false" outlineLevel="0" collapsed="false">
      <c r="A12" s="0" t="s">
        <v>32</v>
      </c>
      <c r="B12" s="11" t="n">
        <v>0.08</v>
      </c>
    </row>
    <row r="13" customFormat="false" ht="15" hidden="false" customHeight="false" outlineLevel="0" collapsed="false">
      <c r="A13" s="0" t="s">
        <v>33</v>
      </c>
      <c r="B13" s="11" t="n">
        <v>0.25</v>
      </c>
    </row>
    <row r="14" customFormat="false" ht="15" hidden="false" customHeight="false" outlineLevel="0" collapsed="false">
      <c r="A14" s="0" t="s">
        <v>34</v>
      </c>
      <c r="B14" s="9" t="n">
        <v>180</v>
      </c>
    </row>
    <row r="15" customFormat="false" ht="15" hidden="false" customHeight="false" outlineLevel="0" collapsed="false">
      <c r="A15" s="0" t="s">
        <v>35</v>
      </c>
      <c r="B15" s="12" t="n">
        <v>220</v>
      </c>
    </row>
    <row r="17" customFormat="false" ht="15" hidden="false" customHeight="false" outlineLevel="0" collapsed="false">
      <c r="A17" s="3" t="s">
        <v>36</v>
      </c>
    </row>
    <row r="18" customFormat="false" ht="15" hidden="false" customHeight="false" outlineLevel="0" collapsed="false">
      <c r="A18" s="0" t="s">
        <v>37</v>
      </c>
      <c r="B18" s="13" t="n">
        <f aca="false">INDEX(E5:E10,MATCH(B7,D5:D10,0))</f>
        <v>14</v>
      </c>
    </row>
    <row r="19" customFormat="false" ht="15" hidden="false" customHeight="false" outlineLevel="0" collapsed="false">
      <c r="A19" s="0" t="s">
        <v>38</v>
      </c>
      <c r="B19" s="14" t="n">
        <f aca="false">B12*B11/365</f>
        <v>0.0131506849315068</v>
      </c>
    </row>
    <row r="20" customFormat="false" ht="15" hidden="false" customHeight="false" outlineLevel="0" collapsed="false">
      <c r="A20" s="0" t="s">
        <v>39</v>
      </c>
      <c r="B20" s="14" t="n">
        <f aca="false">IF(B7="DDP",B8,0)</f>
        <v>0</v>
      </c>
    </row>
    <row r="21" customFormat="false" ht="15" hidden="false" customHeight="false" outlineLevel="0" collapsed="false">
      <c r="A21" s="0" t="s">
        <v>40</v>
      </c>
      <c r="B21" s="14" t="n">
        <f aca="false">B9+B10+B19+B20</f>
        <v>0.0331506849315069</v>
      </c>
    </row>
    <row r="22" customFormat="false" ht="15" hidden="false" customHeight="false" outlineLevel="0" collapsed="false">
      <c r="A22" s="3" t="s">
        <v>41</v>
      </c>
      <c r="B22" s="15" t="n">
        <f aca="false">IF(1-B13-B21&lt;=0,"Check inputs",(B5+B18)/(1-B13-B21))</f>
        <v>194.462067647621</v>
      </c>
    </row>
    <row r="23" customFormat="false" ht="15" hidden="false" customHeight="false" outlineLevel="0" collapsed="false">
      <c r="A23" s="0" t="s">
        <v>42</v>
      </c>
      <c r="B23" s="13" t="n">
        <f aca="false">IF(1-B21&lt;=0,"Check inputs",(B5+B18)/(1-B21))</f>
        <v>144.179654293001</v>
      </c>
    </row>
    <row r="24" customFormat="false" ht="15" hidden="false" customHeight="false" outlineLevel="0" collapsed="false">
      <c r="A24" s="0" t="s">
        <v>43</v>
      </c>
      <c r="B24" s="13" t="n">
        <f aca="false">IF(1-B21&lt;=0,"Check inputs",(B6+B18)/(1-B21))</f>
        <v>112.737319353925</v>
      </c>
    </row>
    <row r="25" customFormat="false" ht="15" hidden="false" customHeight="false" outlineLevel="0" collapsed="false">
      <c r="A25" s="0" t="s">
        <v>44</v>
      </c>
      <c r="B25" s="14" t="n">
        <f aca="false">(B14-B5-B18-B14*B21)/B14</f>
        <v>0.192404870624049</v>
      </c>
    </row>
    <row r="26" customFormat="false" ht="15" hidden="false" customHeight="false" outlineLevel="0" collapsed="false">
      <c r="A26" s="0" t="s">
        <v>45</v>
      </c>
      <c r="B26" s="16" t="n">
        <f aca="false">IFERROR(B22*B15,"")</f>
        <v>42781.6548824766</v>
      </c>
    </row>
    <row r="27" customFormat="false" ht="15" hidden="false" customHeight="false" outlineLevel="0" collapsed="false">
      <c r="A27" s="0" t="s">
        <v>46</v>
      </c>
      <c r="B27" s="16" t="n">
        <f aca="false">IFERROR((B22-B6-B18-B22*B21)*B15,"")</f>
        <v>17383.4137206191</v>
      </c>
    </row>
    <row r="29" customFormat="false" ht="15" hidden="false" customHeight="false" outlineLevel="0" collapsed="false">
      <c r="A29" s="2" t="s">
        <v>47</v>
      </c>
    </row>
  </sheetData>
  <conditionalFormatting sqref="B25">
    <cfRule type="cellIs" priority="2" operator="lessThan" aboveAverage="0" equalAverage="0" bottom="0" percent="0" rank="0" text="" dxfId="0">
      <formula>B13</formula>
    </cfRule>
  </conditionalFormatting>
  <dataValidations count="1">
    <dataValidation allowBlank="false" errorStyle="stop" operator="between" showDropDown="false" showErrorMessage="false" showInputMessage="false" sqref="B7" type="list">
      <formula1>"EXW,FCA,FOB,CIF,DAP,DDP"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