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ssumptions" sheetId="2" state="visible" r:id="rId4"/>
    <sheet name="Foreca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<sst xmlns="http://schemas.openxmlformats.org/spreadsheetml/2006/main" count="126" uniqueCount="103">
  <si>
    <t xml:space="preserve">Three-statement forecast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</si>
  <si>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</si>
  <si>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</si>
  <si>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A linked three-year forecast of the income statement, balance sheet and cash flow, with the overdraft as the balancing item, covenant tests and a balance check (Module 22).</t>
  </si>
  <si>
    <t xml:space="preserve">How to use it</t>
  </si>
  <si>
    <t xml:space="preserve">1. On the Assumptions sheet, type your opening balance sheet from last year's accounts. The opening balance check must read zero.</t>
  </si>
  <si>
    <t xml:space="preserve">2. Set the drivers for each year: growth, margin, cost increases, customer, stock and supplier days, equipment, loans and dividends.</t>
  </si>
  <si>
    <t xml:space="preserve">3. Check the fixed rules: interest rate, tax rate, minimum cash, overdraft limit and covenant.</t>
  </si>
  <si>
    <t xml:space="preserve">4. Open the Forecast sheet. The balance check must read zero; the status row shows whether a limit is breached.</t>
  </si>
  <si>
    <t xml:space="preserve">5. Save a copy, then change a few drivers for a downside case and compare. Know what breaks first.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</si>
  <si>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</si>
  <si>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</si>
  <si>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</si>
  <si>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</si>
  <si>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Three-statement forecast: assumptions</t>
  </si>
  <si>
    <t xml:space="preserve">US dollars. Change only the yellow cells. Example: BraceWorks Medical (fictional), opening from its 31 December balance sheet (Module 1).</t>
  </si>
  <si>
    <t xml:space="preserve">Driver</t>
  </si>
  <si>
    <t xml:space="preserve">Year 1</t>
  </si>
  <si>
    <t xml:space="preserve">Year 2</t>
  </si>
  <si>
    <t xml:space="preserve">Year 3</t>
  </si>
  <si>
    <t xml:space="preserve">Note</t>
  </si>
  <si>
    <t xml:space="preserve">Sales growth</t>
  </si>
  <si>
    <t xml:space="preserve">Module 15</t>
  </si>
  <si>
    <t xml:space="preserve">Gross margin before depreciation</t>
  </si>
  <si>
    <t xml:space="preserve">Last year: $378,000 ÷ $1,200,000</t>
  </si>
  <si>
    <t xml:space="preserve">Selling and admin cost increase</t>
  </si>
  <si>
    <t xml:space="preserve">Wages and inflation</t>
  </si>
  <si>
    <t xml:space="preserve">Customer days (DSO)</t>
  </si>
  <si>
    <t xml:space="preserve">Module 16</t>
  </si>
  <si>
    <t xml:space="preserve">Stock days (of cost of sales incl. depreciation)</t>
  </si>
  <si>
    <t xml:space="preserve">Module 7</t>
  </si>
  <si>
    <t xml:space="preserve">Supplier days (of materials)</t>
  </si>
  <si>
    <t xml:space="preserve">Materials as % of revenue</t>
  </si>
  <si>
    <t xml:space="preserve">For supplier days</t>
  </si>
  <si>
    <t xml:space="preserve">Equipment purchases</t>
  </si>
  <si>
    <t xml:space="preserve">Module 14</t>
  </si>
  <si>
    <t xml:space="preserve">New equipment loan</t>
  </si>
  <si>
    <t xml:space="preserve">Module 20</t>
  </si>
  <si>
    <t xml:space="preserve">Loan repayments</t>
  </si>
  <si>
    <t xml:space="preserve">Loan schedule</t>
  </si>
  <si>
    <t xml:space="preserve">Dividends</t>
  </si>
  <si>
    <t xml:space="preserve">Fixed rules</t>
  </si>
  <si>
    <t xml:space="preserve">Interest rate on overdraft and loans</t>
  </si>
  <si>
    <t xml:space="preserve">Charged on opening balances, plus half a year on new loans</t>
  </si>
  <si>
    <t xml:space="preserve">Tax rate</t>
  </si>
  <si>
    <t xml:space="preserve">Example rate: see Module 19 for your country</t>
  </si>
  <si>
    <t xml:space="preserve">Useful life of new equipment (years)</t>
  </si>
  <si>
    <t xml:space="preserve">Half a year of depreciation in the year bought</t>
  </si>
  <si>
    <t xml:space="preserve">Depreciation on existing equipment, per year</t>
  </si>
  <si>
    <t xml:space="preserve">Last year's charge</t>
  </si>
  <si>
    <t xml:space="preserve">Minimum cash balance</t>
  </si>
  <si>
    <t xml:space="preserve">The overdraft covers any shortfall below this</t>
  </si>
  <si>
    <t xml:space="preserve">Overdraft limit</t>
  </si>
  <si>
    <t xml:space="preserve">From the bank facility letter</t>
  </si>
  <si>
    <t xml:space="preserve">Covenant: net debt ÷ EBITDA no more than</t>
  </si>
  <si>
    <t xml:space="preserve">From the loan agreement</t>
  </si>
  <si>
    <t xml:space="preserve">Last year and opening balance sheet (31 December)</t>
  </si>
  <si>
    <t xml:space="preserve">Revenue last year</t>
  </si>
  <si>
    <t xml:space="preserve">Selling and admin last year</t>
  </si>
  <si>
    <t xml:space="preserve">Cash</t>
  </si>
  <si>
    <t xml:space="preserve">Receivables</t>
  </si>
  <si>
    <t xml:space="preserve">Inventory</t>
  </si>
  <si>
    <t xml:space="preserve">Prepayments</t>
  </si>
  <si>
    <t xml:space="preserve">Equipment, net</t>
  </si>
  <si>
    <t xml:space="preserve">Payables</t>
  </si>
  <si>
    <t xml:space="preserve">Accrued expenses</t>
  </si>
  <si>
    <t xml:space="preserve">Tax payable</t>
  </si>
  <si>
    <t xml:space="preserve">Overdraft</t>
  </si>
  <si>
    <t xml:space="preserve">Equipment loan</t>
  </si>
  <si>
    <t xml:space="preserve">Share capital</t>
  </si>
  <si>
    <t xml:space="preserve">Retained earnings</t>
  </si>
  <si>
    <t xml:space="preserve">Opening balance check (must be zero)</t>
  </si>
  <si>
    <t xml:space="preserve">US dollars. All formulas: change the Assumptions sheet, not this one. Negative numbers in brackets.</t>
  </si>
  <si>
    <t xml:space="preserve">Last year / opening</t>
  </si>
  <si>
    <t xml:space="preserve">Income statement</t>
  </si>
  <si>
    <t xml:space="preserve">Revenue</t>
  </si>
  <si>
    <t xml:space="preserve">Cost of sales (excl. depreciation)</t>
  </si>
  <si>
    <t xml:space="preserve">Selling and admin</t>
  </si>
  <si>
    <t xml:space="preserve">EBITDA</t>
  </si>
  <si>
    <t xml:space="preserve">Depreciation</t>
  </si>
  <si>
    <t xml:space="preserve">Operating profit</t>
  </si>
  <si>
    <t xml:space="preserve">Interest</t>
  </si>
  <si>
    <t xml:space="preserve">Profit before tax</t>
  </si>
  <si>
    <t xml:space="preserve">Tax</t>
  </si>
  <si>
    <t xml:space="preserve">Net profit</t>
  </si>
  <si>
    <t xml:space="preserve">Balance sheet, 31 December</t>
  </si>
  <si>
    <t xml:space="preserve">Total assets</t>
  </si>
  <si>
    <t xml:space="preserve">Total liabilities and equity</t>
  </si>
  <si>
    <t xml:space="preserve">Cash flow statement</t>
  </si>
  <si>
    <t xml:space="preserve">Add back depreciation</t>
  </si>
  <si>
    <t xml:space="preserve">Receivables (increase) / decrease</t>
  </si>
  <si>
    <t xml:space="preserve">Inventory (increase) / decrease</t>
  </si>
  <si>
    <t xml:space="preserve">Payables increase / (decrease)</t>
  </si>
  <si>
    <t xml:space="preserve">Cash from operations</t>
  </si>
  <si>
    <t xml:space="preserve">Free cash flow</t>
  </si>
  <si>
    <t xml:space="preserve">Cash before overdraft</t>
  </si>
  <si>
    <t xml:space="preserve">Overdraft drawn / (repaid)</t>
  </si>
  <si>
    <t xml:space="preserve">Closing cash</t>
  </si>
  <si>
    <t xml:space="preserve">Checks and limits</t>
  </si>
  <si>
    <t xml:space="preserve">Balance check: assets − (liabilities + equity)</t>
  </si>
  <si>
    <t xml:space="preserve">Overdraft headroom</t>
  </si>
  <si>
    <t xml:space="preserve">Net debt ÷ EBITDA</t>
  </si>
  <si>
    <t xml:space="preserve">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</si>
</sst>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0"/>
    <numFmt numFmtId="167" formatCode="\$#,##0;&quot;($&quot;#,##0\);\-"/>
    <numFmt numFmtId="168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  <fill>
      <patternFill patternType="solid">
        <fgColor rgb="FFEEF3F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6232A"/>
      </top>
      <bottom/>
      <diagonal/>
    </border>
    <border diagonalUp="false" diagonalDown="false">
      <left/>
      <right/>
      <top style="thin">
        <color rgb="FF16232A"/>
      </top>
      <bottom style="double">
        <color rgb="FF1623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0CB"/>
        </patternFill>
      </fill>
    </dxf>
    <dxf>
      <fill>
        <patternFill>
          <bgColor rgb="FFD5EC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EEF3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CD9"/>
      <rgbColor rgb="FFFFFF99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45" hidden="false" customHeight="true" outlineLevel="0" collapsed="false">
      <c r="A5" s="5" t="s">
        <v>3</v>
      </c>
    </row>
    <row r="7" customFormat="false" ht="15" hidden="false" customHeight="false" outlineLevel="0" collapsed="false">
      <c r="A7" s="4" t="s">
        <v>4</v>
      </c>
    </row>
    <row r="8" customFormat="false" ht="30" hidden="false" customHeight="true" outlineLevel="0" collapsed="false">
      <c r="A8" s="5" t="s">
        <v>5</v>
      </c>
    </row>
    <row r="9" customFormat="false" ht="30" hidden="false" customHeight="true" outlineLevel="0" collapsed="false">
      <c r="A9" s="5" t="s">
        <v>6</v>
      </c>
    </row>
    <row r="10" customFormat="false" ht="30" hidden="false" customHeight="true" outlineLevel="0" collapsed="false">
      <c r="A10" s="5" t="s">
        <v>7</v>
      </c>
    </row>
    <row r="11" customFormat="false" ht="30" hidden="false" customHeight="true" outlineLevel="0" collapsed="false">
      <c r="A11" s="5" t="s">
        <v>8</v>
      </c>
    </row>
    <row r="12" customFormat="false" ht="30" hidden="false" customHeight="true" outlineLevel="0" collapsed="false">
      <c r="A12" s="5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4"/>
    <col collapsed="false" customWidth="true" hidden="false" outlineLevel="0" max="5" min="5" style="1" width="52"/>
  </cols>
  <sheetData>
    <row r="1" customFormat="false" ht="17.35" hidden="false" customHeight="false" outlineLevel="0" collapsed="false">
      <c r="A1" s="2" t="s">
        <v>14</v>
      </c>
    </row>
    <row r="2" customFormat="false" ht="15" hidden="false" customHeight="false" outlineLevel="0" collapsed="false">
      <c r="A2" s="3" t="s">
        <v>15</v>
      </c>
    </row>
    <row r="4" customFormat="false" ht="15" hidden="false" customHeight="false" outlineLevel="0" collapsed="false">
      <c r="A4" s="8" t="s">
        <v>16</v>
      </c>
      <c r="B4" s="9" t="s">
        <v>17</v>
      </c>
      <c r="C4" s="9" t="s">
        <v>18</v>
      </c>
      <c r="D4" s="9" t="s">
        <v>19</v>
      </c>
      <c r="E4" s="9" t="s">
        <v>20</v>
      </c>
    </row>
    <row r="5" customFormat="false" ht="15" hidden="false" customHeight="false" outlineLevel="0" collapsed="false">
      <c r="A5" s="1" t="s">
        <v>21</v>
      </c>
      <c r="B5" s="10" t="n">
        <v>0.05</v>
      </c>
      <c r="C5" s="10" t="n">
        <v>0.05</v>
      </c>
      <c r="D5" s="10" t="n">
        <v>0.05</v>
      </c>
      <c r="E5" s="3" t="s">
        <v>22</v>
      </c>
    </row>
    <row r="6" customFormat="false" ht="15" hidden="false" customHeight="false" outlineLevel="0" collapsed="false">
      <c r="A6" s="1" t="s">
        <v>23</v>
      </c>
      <c r="B6" s="10" t="n">
        <v>0.315</v>
      </c>
      <c r="C6" s="10" t="n">
        <v>0.315</v>
      </c>
      <c r="D6" s="10" t="n">
        <v>0.315</v>
      </c>
      <c r="E6" s="3" t="s">
        <v>24</v>
      </c>
    </row>
    <row r="7" customFormat="false" ht="15" hidden="false" customHeight="false" outlineLevel="0" collapsed="false">
      <c r="A7" s="1" t="s">
        <v>25</v>
      </c>
      <c r="B7" s="10" t="n">
        <v>0.04</v>
      </c>
      <c r="C7" s="10" t="n">
        <v>0.04</v>
      </c>
      <c r="D7" s="10" t="n">
        <v>0.04</v>
      </c>
      <c r="E7" s="3" t="s">
        <v>26</v>
      </c>
    </row>
    <row r="8" customFormat="false" ht="15" hidden="false" customHeight="false" outlineLevel="0" collapsed="false">
      <c r="A8" s="1" t="s">
        <v>27</v>
      </c>
      <c r="B8" s="11" t="n">
        <v>70</v>
      </c>
      <c r="C8" s="11" t="n">
        <v>70</v>
      </c>
      <c r="D8" s="11" t="n">
        <v>70</v>
      </c>
      <c r="E8" s="3" t="s">
        <v>28</v>
      </c>
    </row>
    <row r="9" customFormat="false" ht="15" hidden="false" customHeight="false" outlineLevel="0" collapsed="false">
      <c r="A9" s="1" t="s">
        <v>29</v>
      </c>
      <c r="B9" s="11" t="n">
        <v>106</v>
      </c>
      <c r="C9" s="11" t="n">
        <v>106</v>
      </c>
      <c r="D9" s="11" t="n">
        <v>106</v>
      </c>
      <c r="E9" s="3" t="s">
        <v>30</v>
      </c>
    </row>
    <row r="10" customFormat="false" ht="15" hidden="false" customHeight="false" outlineLevel="0" collapsed="false">
      <c r="A10" s="1" t="s">
        <v>31</v>
      </c>
      <c r="B10" s="11" t="n">
        <v>63</v>
      </c>
      <c r="C10" s="11" t="n">
        <v>63</v>
      </c>
      <c r="D10" s="11" t="n">
        <v>63</v>
      </c>
      <c r="E10" s="3" t="s">
        <v>28</v>
      </c>
    </row>
    <row r="11" customFormat="false" ht="15" hidden="false" customHeight="false" outlineLevel="0" collapsed="false">
      <c r="A11" s="1" t="s">
        <v>32</v>
      </c>
      <c r="B11" s="10" t="n">
        <v>0.46</v>
      </c>
      <c r="C11" s="10" t="n">
        <v>0.46</v>
      </c>
      <c r="D11" s="10" t="n">
        <v>0.46</v>
      </c>
      <c r="E11" s="3" t="s">
        <v>33</v>
      </c>
    </row>
    <row r="12" customFormat="false" ht="15" hidden="false" customHeight="false" outlineLevel="0" collapsed="false">
      <c r="A12" s="1" t="s">
        <v>34</v>
      </c>
      <c r="B12" s="12" t="n">
        <v>60000</v>
      </c>
      <c r="C12" s="12" t="n">
        <v>30000</v>
      </c>
      <c r="D12" s="12" t="n">
        <v>30000</v>
      </c>
      <c r="E12" s="3" t="s">
        <v>35</v>
      </c>
    </row>
    <row r="13" customFormat="false" ht="15" hidden="false" customHeight="false" outlineLevel="0" collapsed="false">
      <c r="A13" s="1" t="s">
        <v>36</v>
      </c>
      <c r="B13" s="12" t="n">
        <v>0</v>
      </c>
      <c r="C13" s="12" t="n">
        <v>0</v>
      </c>
      <c r="D13" s="12" t="n">
        <v>0</v>
      </c>
      <c r="E13" s="3" t="s">
        <v>37</v>
      </c>
    </row>
    <row r="14" customFormat="false" ht="15" hidden="false" customHeight="false" outlineLevel="0" collapsed="false">
      <c r="A14" s="1" t="s">
        <v>38</v>
      </c>
      <c r="B14" s="12" t="n">
        <v>20000</v>
      </c>
      <c r="C14" s="12" t="n">
        <v>20000</v>
      </c>
      <c r="D14" s="12" t="n">
        <v>20000</v>
      </c>
      <c r="E14" s="3" t="s">
        <v>39</v>
      </c>
    </row>
    <row r="15" customFormat="false" ht="15" hidden="false" customHeight="false" outlineLevel="0" collapsed="false">
      <c r="A15" s="1" t="s">
        <v>40</v>
      </c>
      <c r="B15" s="12" t="n">
        <v>0</v>
      </c>
      <c r="C15" s="12" t="n">
        <v>20000</v>
      </c>
      <c r="D15" s="12" t="n">
        <v>20000</v>
      </c>
      <c r="E15" s="3" t="s">
        <v>37</v>
      </c>
    </row>
    <row r="17" customFormat="false" ht="15" hidden="false" customHeight="false" outlineLevel="0" collapsed="false">
      <c r="A17" s="4" t="s">
        <v>41</v>
      </c>
    </row>
    <row r="18" customFormat="false" ht="15" hidden="false" customHeight="false" outlineLevel="0" collapsed="false">
      <c r="A18" s="1" t="s">
        <v>42</v>
      </c>
      <c r="B18" s="10" t="n">
        <v>0.064</v>
      </c>
      <c r="E18" s="3" t="s">
        <v>43</v>
      </c>
    </row>
    <row r="19" customFormat="false" ht="15" hidden="false" customHeight="false" outlineLevel="0" collapsed="false">
      <c r="A19" s="1" t="s">
        <v>44</v>
      </c>
      <c r="B19" s="10" t="n">
        <v>0.25</v>
      </c>
      <c r="E19" s="3" t="s">
        <v>45</v>
      </c>
    </row>
    <row r="20" customFormat="false" ht="15" hidden="false" customHeight="false" outlineLevel="0" collapsed="false">
      <c r="A20" s="1" t="s">
        <v>46</v>
      </c>
      <c r="B20" s="11" t="n">
        <v>8</v>
      </c>
      <c r="E20" s="3" t="s">
        <v>47</v>
      </c>
    </row>
    <row r="21" customFormat="false" ht="15" hidden="false" customHeight="false" outlineLevel="0" collapsed="false">
      <c r="A21" s="1" t="s">
        <v>48</v>
      </c>
      <c r="B21" s="12" t="n">
        <v>38000</v>
      </c>
      <c r="E21" s="3" t="s">
        <v>49</v>
      </c>
    </row>
    <row r="22" customFormat="false" ht="15" hidden="false" customHeight="false" outlineLevel="0" collapsed="false">
      <c r="A22" s="1" t="s">
        <v>50</v>
      </c>
      <c r="B22" s="12" t="n">
        <v>20000</v>
      </c>
      <c r="E22" s="3" t="s">
        <v>51</v>
      </c>
    </row>
    <row r="23" customFormat="false" ht="15" hidden="false" customHeight="false" outlineLevel="0" collapsed="false">
      <c r="A23" s="1" t="s">
        <v>52</v>
      </c>
      <c r="B23" s="12" t="n">
        <v>150000</v>
      </c>
      <c r="E23" s="3" t="s">
        <v>53</v>
      </c>
    </row>
    <row r="24" customFormat="false" ht="15" hidden="false" customHeight="false" outlineLevel="0" collapsed="false">
      <c r="A24" s="1" t="s">
        <v>54</v>
      </c>
      <c r="B24" s="13" t="n">
        <v>2.5</v>
      </c>
      <c r="E24" s="3" t="s">
        <v>55</v>
      </c>
    </row>
    <row r="26" customFormat="false" ht="15" hidden="false" customHeight="false" outlineLevel="0" collapsed="false">
      <c r="A26" s="4" t="s">
        <v>56</v>
      </c>
    </row>
    <row r="27" customFormat="false" ht="15" hidden="false" customHeight="false" outlineLevel="0" collapsed="false">
      <c r="A27" s="1" t="s">
        <v>57</v>
      </c>
      <c r="B27" s="12" t="n">
        <v>1200000</v>
      </c>
    </row>
    <row r="28" customFormat="false" ht="15" hidden="false" customHeight="false" outlineLevel="0" collapsed="false">
      <c r="A28" s="1" t="s">
        <v>58</v>
      </c>
      <c r="B28" s="12" t="n">
        <v>246000</v>
      </c>
    </row>
    <row r="29" customFormat="false" ht="15" hidden="false" customHeight="false" outlineLevel="0" collapsed="false">
      <c r="A29" s="1" t="s">
        <v>59</v>
      </c>
      <c r="B29" s="12" t="n">
        <v>42000</v>
      </c>
    </row>
    <row r="30" customFormat="false" ht="15" hidden="false" customHeight="false" outlineLevel="0" collapsed="false">
      <c r="A30" s="1" t="s">
        <v>60</v>
      </c>
      <c r="B30" s="12" t="n">
        <v>230000</v>
      </c>
    </row>
    <row r="31" customFormat="false" ht="15" hidden="false" customHeight="false" outlineLevel="0" collapsed="false">
      <c r="A31" s="1" t="s">
        <v>61</v>
      </c>
      <c r="B31" s="12" t="n">
        <v>250000</v>
      </c>
    </row>
    <row r="32" customFormat="false" ht="15" hidden="false" customHeight="false" outlineLevel="0" collapsed="false">
      <c r="A32" s="1" t="s">
        <v>62</v>
      </c>
      <c r="B32" s="12" t="n">
        <v>13000</v>
      </c>
    </row>
    <row r="33" customFormat="false" ht="15" hidden="false" customHeight="false" outlineLevel="0" collapsed="false">
      <c r="A33" s="1" t="s">
        <v>63</v>
      </c>
      <c r="B33" s="12" t="n">
        <v>310000</v>
      </c>
    </row>
    <row r="34" customFormat="false" ht="15" hidden="false" customHeight="false" outlineLevel="0" collapsed="false">
      <c r="A34" s="1" t="s">
        <v>64</v>
      </c>
      <c r="B34" s="12" t="n">
        <v>95000</v>
      </c>
    </row>
    <row r="35" customFormat="false" ht="15" hidden="false" customHeight="false" outlineLevel="0" collapsed="false">
      <c r="A35" s="1" t="s">
        <v>65</v>
      </c>
      <c r="B35" s="12" t="n">
        <v>30000</v>
      </c>
    </row>
    <row r="36" customFormat="false" ht="15" hidden="false" customHeight="false" outlineLevel="0" collapsed="false">
      <c r="A36" s="1" t="s">
        <v>66</v>
      </c>
      <c r="B36" s="12" t="n">
        <v>8500</v>
      </c>
    </row>
    <row r="37" customFormat="false" ht="15" hidden="false" customHeight="false" outlineLevel="0" collapsed="false">
      <c r="A37" s="1" t="s">
        <v>67</v>
      </c>
      <c r="B37" s="12" t="n">
        <v>120000</v>
      </c>
    </row>
    <row r="38" customFormat="false" ht="15" hidden="false" customHeight="false" outlineLevel="0" collapsed="false">
      <c r="A38" s="1" t="s">
        <v>68</v>
      </c>
      <c r="B38" s="12" t="n">
        <v>100000</v>
      </c>
    </row>
    <row r="39" customFormat="false" ht="15" hidden="false" customHeight="false" outlineLevel="0" collapsed="false">
      <c r="A39" s="1" t="s">
        <v>69</v>
      </c>
      <c r="B39" s="12" t="n">
        <v>250000</v>
      </c>
    </row>
    <row r="40" customFormat="false" ht="15" hidden="false" customHeight="false" outlineLevel="0" collapsed="false">
      <c r="A40" s="1" t="s">
        <v>70</v>
      </c>
      <c r="B40" s="12" t="n">
        <v>241500</v>
      </c>
    </row>
    <row r="41" customFormat="false" ht="15" hidden="false" customHeight="false" outlineLevel="0" collapsed="false">
      <c r="A41" s="4" t="s">
        <v>71</v>
      </c>
      <c r="B41" s="14" t="n">
        <f aca="false">SUM(B29:B33)-SUM(B34:B40)</f>
        <v>0</v>
      </c>
    </row>
  </sheetData>
  <conditionalFormatting sqref="B41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5" min="3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72</v>
      </c>
    </row>
    <row r="4" customFormat="false" ht="15" hidden="false" customHeight="false" outlineLevel="0" collapsed="false">
      <c r="A4" s="8"/>
      <c r="B4" s="9" t="s">
        <v>73</v>
      </c>
      <c r="C4" s="9" t="s">
        <v>17</v>
      </c>
      <c r="D4" s="9" t="s">
        <v>18</v>
      </c>
      <c r="E4" s="9" t="s">
        <v>19</v>
      </c>
    </row>
    <row r="5" customFormat="false" ht="15" hidden="false" customHeight="false" outlineLevel="0" collapsed="false">
      <c r="A5" s="15" t="s">
        <v>74</v>
      </c>
      <c r="B5" s="16"/>
      <c r="C5" s="16"/>
      <c r="D5" s="16"/>
      <c r="E5" s="16"/>
    </row>
    <row r="6" customFormat="false" ht="15" hidden="false" customHeight="false" outlineLevel="0" collapsed="false">
      <c r="A6" s="17" t="s">
        <v>75</v>
      </c>
      <c r="B6" s="18" t="n">
        <f aca="false">Assumptions!B27</f>
        <v>1200000</v>
      </c>
      <c r="C6" s="14" t="n">
        <f aca="false">B6*(1+Assumptions!B5)</f>
        <v>1260000</v>
      </c>
      <c r="D6" s="14" t="n">
        <f aca="false">C6*(1+Assumptions!C5)</f>
        <v>1323000</v>
      </c>
      <c r="E6" s="14" t="n">
        <f aca="false">D6*(1+Assumptions!D5)</f>
        <v>1389150</v>
      </c>
    </row>
    <row r="7" customFormat="false" ht="15" hidden="false" customHeight="false" outlineLevel="0" collapsed="false">
      <c r="A7" s="17" t="s">
        <v>76</v>
      </c>
      <c r="C7" s="14" t="n">
        <f aca="false">-C6*(1-Assumptions!B6)</f>
        <v>-863100</v>
      </c>
      <c r="D7" s="14" t="n">
        <f aca="false">-D6*(1-Assumptions!C6)</f>
        <v>-906255</v>
      </c>
      <c r="E7" s="14" t="n">
        <f aca="false">-E6*(1-Assumptions!D6)</f>
        <v>-951567.75</v>
      </c>
    </row>
    <row r="8" customFormat="false" ht="15" hidden="false" customHeight="false" outlineLevel="0" collapsed="false">
      <c r="A8" s="17" t="s">
        <v>77</v>
      </c>
      <c r="B8" s="18" t="n">
        <f aca="false">-Assumptions!B28</f>
        <v>-246000</v>
      </c>
      <c r="C8" s="14" t="n">
        <f aca="false">-Assumptions!B28*(1+Assumptions!B7)</f>
        <v>-255840</v>
      </c>
      <c r="D8" s="14" t="n">
        <f aca="false">C8*(1+Assumptions!C7)</f>
        <v>-266073.6</v>
      </c>
      <c r="E8" s="14" t="n">
        <f aca="false">D8*(1+Assumptions!D7)</f>
        <v>-276716.544</v>
      </c>
    </row>
    <row r="9" customFormat="false" ht="15" hidden="false" customHeight="false" outlineLevel="0" collapsed="false">
      <c r="A9" s="4" t="s">
        <v>78</v>
      </c>
      <c r="C9" s="19" t="n">
        <f aca="false">C6+C7+C8</f>
        <v>141060</v>
      </c>
      <c r="D9" s="19" t="n">
        <f aca="false">D6+D7+D8</f>
        <v>150671.4</v>
      </c>
      <c r="E9" s="19" t="n">
        <f aca="false">E6+E7+E8</f>
        <v>160865.706</v>
      </c>
    </row>
    <row r="10" customFormat="false" ht="15" hidden="false" customHeight="false" outlineLevel="0" collapsed="false">
      <c r="A10" s="17" t="s">
        <v>79</v>
      </c>
      <c r="C10" s="14" t="n">
        <f aca="false">-(Assumptions!$B$21+Assumptions!B12/(2*Assumptions!$B$20))</f>
        <v>-41750</v>
      </c>
      <c r="D10" s="14" t="n">
        <f aca="false">-(Assumptions!$B$21+Assumptions!B12/Assumptions!$B$20+Assumptions!C12/(2*Assumptions!$B$20))</f>
        <v>-47375</v>
      </c>
      <c r="E10" s="14" t="n">
        <f aca="false">-(Assumptions!$B$21+(Assumptions!B12+Assumptions!C12)/Assumptions!$B$20+Assumptions!D12/(2*Assumptions!$B$20))</f>
        <v>-51125</v>
      </c>
    </row>
    <row r="11" customFormat="false" ht="15" hidden="false" customHeight="false" outlineLevel="0" collapsed="false">
      <c r="A11" s="4" t="s">
        <v>80</v>
      </c>
      <c r="C11" s="19" t="n">
        <f aca="false">C9+C10</f>
        <v>99309.9999999999</v>
      </c>
      <c r="D11" s="19" t="n">
        <f aca="false">D9+D10</f>
        <v>103296.4</v>
      </c>
      <c r="E11" s="19" t="n">
        <f aca="false">E9+E10</f>
        <v>109740.706</v>
      </c>
    </row>
    <row r="12" customFormat="false" ht="15" hidden="false" customHeight="false" outlineLevel="0" collapsed="false">
      <c r="A12" s="1" t="s">
        <v>81</v>
      </c>
      <c r="C12" s="14" t="n">
        <f aca="false">-Assumptions!$B$18*(B27+B28+Assumptions!B13/2)</f>
        <v>-14080</v>
      </c>
      <c r="D12" s="14" t="n">
        <f aca="false">-Assumptions!$B$18*(C27+C28+Assumptions!C13/2)</f>
        <v>-10989.3852054795</v>
      </c>
      <c r="E12" s="14" t="n">
        <f aca="false">-Assumptions!$B$18*(D27+D28+Assumptions!D13/2)</f>
        <v>-8086.41879671234</v>
      </c>
    </row>
    <row r="13" customFormat="false" ht="15" hidden="false" customHeight="false" outlineLevel="0" collapsed="false">
      <c r="A13" s="4" t="s">
        <v>82</v>
      </c>
      <c r="C13" s="19" t="n">
        <f aca="false">C11+C12</f>
        <v>85229.9999999999</v>
      </c>
      <c r="D13" s="19" t="n">
        <f aca="false">D11+D12</f>
        <v>92307.0147945204</v>
      </c>
      <c r="E13" s="19" t="n">
        <f aca="false">E11+E12</f>
        <v>101654.287203287</v>
      </c>
    </row>
    <row r="14" customFormat="false" ht="15" hidden="false" customHeight="false" outlineLevel="0" collapsed="false">
      <c r="A14" s="17" t="s">
        <v>83</v>
      </c>
      <c r="C14" s="14" t="n">
        <f aca="false">-MAX(0,C13)*Assumptions!$B$19</f>
        <v>-21307.5</v>
      </c>
      <c r="D14" s="14" t="n">
        <f aca="false">-MAX(0,D13)*Assumptions!$B$19</f>
        <v>-23076.7536986301</v>
      </c>
      <c r="E14" s="14" t="n">
        <f aca="false">-MAX(0,E13)*Assumptions!$B$19</f>
        <v>-25413.5718008219</v>
      </c>
    </row>
    <row r="15" customFormat="false" ht="15" hidden="false" customHeight="false" outlineLevel="0" collapsed="false">
      <c r="A15" s="4" t="s">
        <v>84</v>
      </c>
      <c r="C15" s="20" t="n">
        <f aca="false">C13+C14</f>
        <v>63922.4999999999</v>
      </c>
      <c r="D15" s="20" t="n">
        <f aca="false">D13+D14</f>
        <v>69230.2610958903</v>
      </c>
      <c r="E15" s="20" t="n">
        <f aca="false">E13+E14</f>
        <v>76240.7154024656</v>
      </c>
    </row>
    <row r="17" customFormat="false" ht="15" hidden="false" customHeight="false" outlineLevel="0" collapsed="false">
      <c r="A17" s="15" t="s">
        <v>85</v>
      </c>
      <c r="B17" s="16"/>
      <c r="C17" s="16"/>
      <c r="D17" s="16"/>
      <c r="E17" s="16"/>
    </row>
    <row r="18" customFormat="false" ht="15" hidden="false" customHeight="false" outlineLevel="0" collapsed="false">
      <c r="A18" s="1" t="s">
        <v>59</v>
      </c>
      <c r="B18" s="18" t="n">
        <f aca="false">Assumptions!B29</f>
        <v>42000</v>
      </c>
      <c r="C18" s="14" t="n">
        <f aca="false">C47</f>
        <v>20000</v>
      </c>
      <c r="D18" s="14" t="n">
        <f aca="false">D47</f>
        <v>20000</v>
      </c>
      <c r="E18" s="14" t="n">
        <f aca="false">E47</f>
        <v>20000</v>
      </c>
    </row>
    <row r="19" customFormat="false" ht="15" hidden="false" customHeight="false" outlineLevel="0" collapsed="false">
      <c r="A19" s="17" t="s">
        <v>60</v>
      </c>
      <c r="B19" s="18" t="n">
        <f aca="false">Assumptions!B30</f>
        <v>230000</v>
      </c>
      <c r="C19" s="14" t="n">
        <f aca="false">C6*Assumptions!B8/365</f>
        <v>241643.835616438</v>
      </c>
      <c r="D19" s="14" t="n">
        <f aca="false">D6*Assumptions!C8/365</f>
        <v>253726.02739726</v>
      </c>
      <c r="E19" s="14" t="n">
        <f aca="false">E6*Assumptions!D8/365</f>
        <v>266412.328767123</v>
      </c>
    </row>
    <row r="20" customFormat="false" ht="15" hidden="false" customHeight="false" outlineLevel="0" collapsed="false">
      <c r="A20" s="17" t="s">
        <v>61</v>
      </c>
      <c r="B20" s="18" t="n">
        <f aca="false">Assumptions!B31</f>
        <v>250000</v>
      </c>
      <c r="C20" s="14" t="n">
        <f aca="false">-(C7+C10)*Assumptions!B9/365</f>
        <v>262778.356164384</v>
      </c>
      <c r="D20" s="14" t="n">
        <f aca="false">-(D7+D10)*Assumptions!C9/365</f>
        <v>276944.602739726</v>
      </c>
      <c r="E20" s="14" t="n">
        <f aca="false">-(E7+E10)*Assumptions!D9/365</f>
        <v>291192.963013699</v>
      </c>
    </row>
    <row r="21" customFormat="false" ht="15" hidden="false" customHeight="false" outlineLevel="0" collapsed="false">
      <c r="A21" s="17" t="s">
        <v>62</v>
      </c>
      <c r="B21" s="18" t="n">
        <f aca="false">Assumptions!B32</f>
        <v>13000</v>
      </c>
      <c r="C21" s="14" t="n">
        <f aca="false">B21</f>
        <v>13000</v>
      </c>
      <c r="D21" s="14" t="n">
        <f aca="false">C21</f>
        <v>13000</v>
      </c>
      <c r="E21" s="14" t="n">
        <f aca="false">D21</f>
        <v>13000</v>
      </c>
    </row>
    <row r="22" customFormat="false" ht="15" hidden="false" customHeight="false" outlineLevel="0" collapsed="false">
      <c r="A22" s="17" t="s">
        <v>63</v>
      </c>
      <c r="B22" s="18" t="n">
        <f aca="false">Assumptions!B33</f>
        <v>310000</v>
      </c>
      <c r="C22" s="14" t="n">
        <f aca="false">B22+Assumptions!B12+C10</f>
        <v>328250</v>
      </c>
      <c r="D22" s="14" t="n">
        <f aca="false">C22+Assumptions!C12+D10</f>
        <v>310875</v>
      </c>
      <c r="E22" s="14" t="n">
        <f aca="false">D22+Assumptions!D12+E10</f>
        <v>289750</v>
      </c>
    </row>
    <row r="23" customFormat="false" ht="15" hidden="false" customHeight="false" outlineLevel="0" collapsed="false">
      <c r="A23" s="4" t="s">
        <v>86</v>
      </c>
      <c r="B23" s="14" t="n">
        <f aca="false">SUM(B18:B22)</f>
        <v>845000</v>
      </c>
      <c r="C23" s="19" t="n">
        <f aca="false">SUM(C18:C22)</f>
        <v>865672.191780822</v>
      </c>
      <c r="D23" s="19" t="n">
        <f aca="false">SUM(D18:D22)</f>
        <v>874545.630136986</v>
      </c>
      <c r="E23" s="19" t="n">
        <f aca="false">SUM(E18:E22)</f>
        <v>880355.291780822</v>
      </c>
    </row>
    <row r="24" customFormat="false" ht="15" hidden="false" customHeight="false" outlineLevel="0" collapsed="false">
      <c r="A24" s="17" t="s">
        <v>64</v>
      </c>
      <c r="B24" s="18" t="n">
        <f aca="false">Assumptions!B34</f>
        <v>95000</v>
      </c>
      <c r="C24" s="14" t="n">
        <f aca="false">C6*Assumptions!B11*Assumptions!B10/365</f>
        <v>100040.547945205</v>
      </c>
      <c r="D24" s="14" t="n">
        <f aca="false">D6*Assumptions!C11*Assumptions!C10/365</f>
        <v>105042.575342466</v>
      </c>
      <c r="E24" s="14" t="n">
        <f aca="false">E6*Assumptions!D11*Assumptions!D10/365</f>
        <v>110294.704109589</v>
      </c>
    </row>
    <row r="25" customFormat="false" ht="15" hidden="false" customHeight="false" outlineLevel="0" collapsed="false">
      <c r="A25" s="17" t="s">
        <v>65</v>
      </c>
      <c r="B25" s="18" t="n">
        <f aca="false">Assumptions!B35</f>
        <v>30000</v>
      </c>
      <c r="C25" s="14" t="n">
        <f aca="false">B25</f>
        <v>30000</v>
      </c>
      <c r="D25" s="14" t="n">
        <f aca="false">C25</f>
        <v>30000</v>
      </c>
      <c r="E25" s="14" t="n">
        <f aca="false">D25</f>
        <v>30000</v>
      </c>
    </row>
    <row r="26" customFormat="false" ht="15" hidden="false" customHeight="false" outlineLevel="0" collapsed="false">
      <c r="A26" s="17" t="s">
        <v>66</v>
      </c>
      <c r="B26" s="18" t="n">
        <f aca="false">Assumptions!B36</f>
        <v>8500</v>
      </c>
      <c r="C26" s="14" t="n">
        <f aca="false">B26</f>
        <v>8500</v>
      </c>
      <c r="D26" s="14" t="n">
        <f aca="false">C26</f>
        <v>8500</v>
      </c>
      <c r="E26" s="14" t="n">
        <f aca="false">D26</f>
        <v>8500</v>
      </c>
    </row>
    <row r="27" customFormat="false" ht="15" hidden="false" customHeight="false" outlineLevel="0" collapsed="false">
      <c r="A27" s="1" t="s">
        <v>67</v>
      </c>
      <c r="B27" s="18" t="n">
        <f aca="false">Assumptions!B37</f>
        <v>120000</v>
      </c>
      <c r="C27" s="14" t="n">
        <f aca="false">B27+C46</f>
        <v>91709.1438356166</v>
      </c>
      <c r="D27" s="14" t="n">
        <f aca="false">C27+D46</f>
        <v>66350.2936986304</v>
      </c>
      <c r="E27" s="14" t="n">
        <f aca="false">D27+E46</f>
        <v>30667.1111728771</v>
      </c>
    </row>
    <row r="28" customFormat="false" ht="15" hidden="false" customHeight="false" outlineLevel="0" collapsed="false">
      <c r="A28" s="17" t="s">
        <v>68</v>
      </c>
      <c r="B28" s="18" t="n">
        <f aca="false">Assumptions!B38</f>
        <v>100000</v>
      </c>
      <c r="C28" s="14" t="n">
        <f aca="false">B28-MIN(Assumptions!B14,B28)+Assumptions!B13</f>
        <v>80000</v>
      </c>
      <c r="D28" s="14" t="n">
        <f aca="false">C28-MIN(Assumptions!C14,C28)+Assumptions!C13</f>
        <v>60000</v>
      </c>
      <c r="E28" s="14" t="n">
        <f aca="false">D28-MIN(Assumptions!D14,D28)+Assumptions!D13</f>
        <v>40000</v>
      </c>
    </row>
    <row r="29" customFormat="false" ht="15" hidden="false" customHeight="false" outlineLevel="0" collapsed="false">
      <c r="A29" s="17" t="s">
        <v>69</v>
      </c>
      <c r="B29" s="18" t="n">
        <f aca="false">Assumptions!B39</f>
        <v>250000</v>
      </c>
      <c r="C29" s="14" t="n">
        <f aca="false">B29</f>
        <v>250000</v>
      </c>
      <c r="D29" s="14" t="n">
        <f aca="false">C29</f>
        <v>250000</v>
      </c>
      <c r="E29" s="14" t="n">
        <f aca="false">D29</f>
        <v>250000</v>
      </c>
    </row>
    <row r="30" customFormat="false" ht="15" hidden="false" customHeight="false" outlineLevel="0" collapsed="false">
      <c r="A30" s="17" t="s">
        <v>70</v>
      </c>
      <c r="B30" s="18" t="n">
        <f aca="false">Assumptions!B40</f>
        <v>241500</v>
      </c>
      <c r="C30" s="14" t="n">
        <f aca="false">B30+C15-Assumptions!B15</f>
        <v>305422.5</v>
      </c>
      <c r="D30" s="14" t="n">
        <f aca="false">C30+D15-Assumptions!C15</f>
        <v>354652.76109589</v>
      </c>
      <c r="E30" s="14" t="n">
        <f aca="false">D30+E15-Assumptions!D15</f>
        <v>410893.476498356</v>
      </c>
    </row>
    <row r="31" customFormat="false" ht="15" hidden="false" customHeight="false" outlineLevel="0" collapsed="false">
      <c r="A31" s="4" t="s">
        <v>87</v>
      </c>
      <c r="B31" s="14" t="n">
        <f aca="false">SUM(B24:B30)</f>
        <v>845000</v>
      </c>
      <c r="C31" s="20" t="n">
        <f aca="false">SUM(C24:C30)</f>
        <v>865672.191780822</v>
      </c>
      <c r="D31" s="20" t="n">
        <f aca="false">SUM(D24:D30)</f>
        <v>874545.630136986</v>
      </c>
      <c r="E31" s="20" t="n">
        <f aca="false">SUM(E24:E30)</f>
        <v>880355.291780822</v>
      </c>
    </row>
    <row r="33" customFormat="false" ht="15" hidden="false" customHeight="false" outlineLevel="0" collapsed="false">
      <c r="A33" s="15" t="s">
        <v>88</v>
      </c>
      <c r="B33" s="16"/>
      <c r="C33" s="16"/>
      <c r="D33" s="16"/>
      <c r="E33" s="16"/>
    </row>
    <row r="34" customFormat="false" ht="15" hidden="false" customHeight="false" outlineLevel="0" collapsed="false">
      <c r="A34" s="17" t="s">
        <v>84</v>
      </c>
      <c r="C34" s="14" t="n">
        <f aca="false">C15</f>
        <v>63922.4999999999</v>
      </c>
      <c r="D34" s="14" t="n">
        <f aca="false">D15</f>
        <v>69230.2610958903</v>
      </c>
      <c r="E34" s="14" t="n">
        <f aca="false">E15</f>
        <v>76240.7154024656</v>
      </c>
    </row>
    <row r="35" customFormat="false" ht="15" hidden="false" customHeight="false" outlineLevel="0" collapsed="false">
      <c r="A35" s="17" t="s">
        <v>89</v>
      </c>
      <c r="C35" s="14" t="n">
        <f aca="false">-C10</f>
        <v>41750</v>
      </c>
      <c r="D35" s="14" t="n">
        <f aca="false">-D10</f>
        <v>47375</v>
      </c>
      <c r="E35" s="14" t="n">
        <f aca="false">-E10</f>
        <v>51125</v>
      </c>
    </row>
    <row r="36" customFormat="false" ht="15" hidden="false" customHeight="false" outlineLevel="0" collapsed="false">
      <c r="A36" s="17" t="s">
        <v>90</v>
      </c>
      <c r="C36" s="14" t="n">
        <f aca="false">B19-C19</f>
        <v>-11643.8356164384</v>
      </c>
      <c r="D36" s="14" t="n">
        <f aca="false">C19-D19</f>
        <v>-12082.1917808219</v>
      </c>
      <c r="E36" s="14" t="n">
        <f aca="false">D19-E19</f>
        <v>-12686.301369863</v>
      </c>
    </row>
    <row r="37" customFormat="false" ht="15" hidden="false" customHeight="false" outlineLevel="0" collapsed="false">
      <c r="A37" s="17" t="s">
        <v>91</v>
      </c>
      <c r="C37" s="14" t="n">
        <f aca="false">B20-C20</f>
        <v>-12778.3561643836</v>
      </c>
      <c r="D37" s="14" t="n">
        <f aca="false">C20-D20</f>
        <v>-14166.2465753425</v>
      </c>
      <c r="E37" s="14" t="n">
        <f aca="false">D20-E20</f>
        <v>-14248.3602739726</v>
      </c>
    </row>
    <row r="38" customFormat="false" ht="15" hidden="false" customHeight="false" outlineLevel="0" collapsed="false">
      <c r="A38" s="17" t="s">
        <v>92</v>
      </c>
      <c r="C38" s="14" t="n">
        <f aca="false">C24-B24</f>
        <v>5040.54794520549</v>
      </c>
      <c r="D38" s="14" t="n">
        <f aca="false">D24-C24</f>
        <v>5002.02739726027</v>
      </c>
      <c r="E38" s="14" t="n">
        <f aca="false">E24-D24</f>
        <v>5252.12876712329</v>
      </c>
    </row>
    <row r="39" customFormat="false" ht="15" hidden="false" customHeight="false" outlineLevel="0" collapsed="false">
      <c r="A39" s="4" t="s">
        <v>93</v>
      </c>
      <c r="C39" s="19" t="n">
        <f aca="false">SUM(C34:C38)</f>
        <v>86290.8561643835</v>
      </c>
      <c r="D39" s="19" t="n">
        <f aca="false">SUM(D34:D38)</f>
        <v>95358.8501369862</v>
      </c>
      <c r="E39" s="19" t="n">
        <f aca="false">SUM(E34:E38)</f>
        <v>105683.182525753</v>
      </c>
    </row>
    <row r="40" customFormat="false" ht="15" hidden="false" customHeight="false" outlineLevel="0" collapsed="false">
      <c r="A40" s="17" t="s">
        <v>34</v>
      </c>
      <c r="C40" s="14" t="n">
        <f aca="false">-Assumptions!B12</f>
        <v>-60000</v>
      </c>
      <c r="D40" s="14" t="n">
        <f aca="false">-Assumptions!C12</f>
        <v>-30000</v>
      </c>
      <c r="E40" s="14" t="n">
        <f aca="false">-Assumptions!D12</f>
        <v>-30000</v>
      </c>
    </row>
    <row r="41" customFormat="false" ht="15" hidden="false" customHeight="false" outlineLevel="0" collapsed="false">
      <c r="A41" s="4" t="s">
        <v>94</v>
      </c>
      <c r="C41" s="19" t="n">
        <f aca="false">C39+C40</f>
        <v>26290.8561643835</v>
      </c>
      <c r="D41" s="19" t="n">
        <f aca="false">D39+D40</f>
        <v>65358.8501369862</v>
      </c>
      <c r="E41" s="19" t="n">
        <f aca="false">E39+E40</f>
        <v>75683.1825257533</v>
      </c>
    </row>
    <row r="42" customFormat="false" ht="15" hidden="false" customHeight="false" outlineLevel="0" collapsed="false">
      <c r="A42" s="17" t="s">
        <v>38</v>
      </c>
      <c r="C42" s="14" t="n">
        <f aca="false">-MIN(Assumptions!B14,B28)</f>
        <v>-20000</v>
      </c>
      <c r="D42" s="14" t="n">
        <f aca="false">-MIN(Assumptions!C14,C28)</f>
        <v>-20000</v>
      </c>
      <c r="E42" s="14" t="n">
        <f aca="false">-MIN(Assumptions!D14,D28)</f>
        <v>-20000</v>
      </c>
    </row>
    <row r="43" customFormat="false" ht="15" hidden="false" customHeight="false" outlineLevel="0" collapsed="false">
      <c r="A43" s="17" t="s">
        <v>36</v>
      </c>
      <c r="C43" s="14" t="n">
        <f aca="false">Assumptions!B13</f>
        <v>0</v>
      </c>
      <c r="D43" s="14" t="n">
        <f aca="false">Assumptions!C13</f>
        <v>0</v>
      </c>
      <c r="E43" s="14" t="n">
        <f aca="false">Assumptions!D13</f>
        <v>0</v>
      </c>
    </row>
    <row r="44" customFormat="false" ht="15" hidden="false" customHeight="false" outlineLevel="0" collapsed="false">
      <c r="A44" s="17" t="s">
        <v>40</v>
      </c>
      <c r="C44" s="14" t="n">
        <f aca="false">-Assumptions!B15</f>
        <v>-0</v>
      </c>
      <c r="D44" s="14" t="n">
        <f aca="false">-Assumptions!C15</f>
        <v>-20000</v>
      </c>
      <c r="E44" s="14" t="n">
        <f aca="false">-Assumptions!D15</f>
        <v>-20000</v>
      </c>
    </row>
    <row r="45" customFormat="false" ht="15" hidden="false" customHeight="false" outlineLevel="0" collapsed="false">
      <c r="A45" s="4" t="s">
        <v>95</v>
      </c>
      <c r="C45" s="19" t="n">
        <f aca="false">B18+C41+C42+C43+C44</f>
        <v>48290.8561643835</v>
      </c>
      <c r="D45" s="19" t="n">
        <f aca="false">C18+D41+D42+D43+D44</f>
        <v>45358.8501369862</v>
      </c>
      <c r="E45" s="19" t="n">
        <f aca="false">D18+E41+E42+E43+E44</f>
        <v>55683.1825257533</v>
      </c>
    </row>
    <row r="46" customFormat="false" ht="15" hidden="false" customHeight="false" outlineLevel="0" collapsed="false">
      <c r="A46" s="17" t="s">
        <v>96</v>
      </c>
      <c r="C46" s="14" t="n">
        <f aca="false">IF(C45&lt;Assumptions!$B$22,Assumptions!$B$22-C45,-MIN(B27,C45-Assumptions!$B$22))</f>
        <v>-28290.8561643835</v>
      </c>
      <c r="D46" s="14" t="n">
        <f aca="false">IF(D45&lt;Assumptions!$B$22,Assumptions!$B$22-D45,-MIN(C27,D45-Assumptions!$B$22))</f>
        <v>-25358.8501369862</v>
      </c>
      <c r="E46" s="14" t="n">
        <f aca="false">IF(E45&lt;Assumptions!$B$22,Assumptions!$B$22-E45,-MIN(D27,E45-Assumptions!$B$22))</f>
        <v>-35683.1825257533</v>
      </c>
    </row>
    <row r="47" customFormat="false" ht="15" hidden="false" customHeight="false" outlineLevel="0" collapsed="false">
      <c r="A47" s="4" t="s">
        <v>97</v>
      </c>
      <c r="C47" s="20" t="n">
        <f aca="false">C45+C46</f>
        <v>20000</v>
      </c>
      <c r="D47" s="20" t="n">
        <f aca="false">D45+D46</f>
        <v>20000</v>
      </c>
      <c r="E47" s="20" t="n">
        <f aca="false">E45+E46</f>
        <v>20000</v>
      </c>
    </row>
    <row r="49" customFormat="false" ht="15" hidden="false" customHeight="false" outlineLevel="0" collapsed="false">
      <c r="A49" s="15" t="s">
        <v>98</v>
      </c>
      <c r="B49" s="16"/>
      <c r="C49" s="16"/>
      <c r="D49" s="16"/>
      <c r="E49" s="16"/>
    </row>
    <row r="50" customFormat="false" ht="15" hidden="false" customHeight="false" outlineLevel="0" collapsed="false">
      <c r="A50" s="4" t="s">
        <v>99</v>
      </c>
      <c r="B50" s="14" t="n">
        <f aca="false">ROUND(B23-B31,0)</f>
        <v>0</v>
      </c>
      <c r="C50" s="21" t="n">
        <f aca="false">ROUND(C23-C31,0)</f>
        <v>0</v>
      </c>
      <c r="D50" s="21" t="n">
        <f aca="false">ROUND(D23-D31,0)</f>
        <v>0</v>
      </c>
      <c r="E50" s="21" t="n">
        <f aca="false">ROUND(E23-E31,0)</f>
        <v>0</v>
      </c>
    </row>
    <row r="51" customFormat="false" ht="15" hidden="false" customHeight="false" outlineLevel="0" collapsed="false">
      <c r="A51" s="17" t="s">
        <v>100</v>
      </c>
      <c r="C51" s="14" t="n">
        <f aca="false">Assumptions!$B$23-C27</f>
        <v>58290.8561643835</v>
      </c>
      <c r="D51" s="14" t="n">
        <f aca="false">Assumptions!$B$23-D27</f>
        <v>83649.7063013696</v>
      </c>
      <c r="E51" s="14" t="n">
        <f aca="false">Assumptions!$B$23-E27</f>
        <v>119332.888827123</v>
      </c>
    </row>
    <row r="52" customFormat="false" ht="15" hidden="false" customHeight="false" outlineLevel="0" collapsed="false">
      <c r="A52" s="17" t="s">
        <v>101</v>
      </c>
      <c r="C52" s="22" t="n">
        <f aca="false">IF(C9&lt;=0,"n/a",(C27+C28-C18)/C9)</f>
        <v>1.07549371781949</v>
      </c>
      <c r="D52" s="22" t="n">
        <f aca="false">IF(D9&lt;=0,"n/a",(D27+D28-D18)/D9)</f>
        <v>0.705842606484247</v>
      </c>
      <c r="E52" s="22" t="n">
        <f aca="false">IF(E9&lt;=0,"n/a",(E27+E28-E18)/E9)</f>
        <v>0.314965274033467</v>
      </c>
    </row>
    <row r="53" customFormat="false" ht="15" hidden="false" customHeight="false" outlineLevel="0" collapsed="false">
      <c r="A53" s="4" t="s">
        <v>102</v>
      </c>
      <c r="C53" s="4" t="str">
        <f aca="false">IF(C50&lt;&gt;0,"Check the model",IF(C51&lt;0,"Over the overdraft limit",IF(AND(ISNUMBER(C52),C52&gt;Assumptions!$B$24),"Covenant breached",IF(C9&lt;=0,"Covenant breached","OK"))))</f>
        <v>OK</v>
      </c>
      <c r="D53" s="4" t="str">
        <f aca="false">IF(D50&lt;&gt;0,"Check the model",IF(D51&lt;0,"Over the overdraft limit",IF(AND(ISNUMBER(D52),D52&gt;Assumptions!$B$24),"Covenant breached",IF(D9&lt;=0,"Covenant breached","OK"))))</f>
        <v>OK</v>
      </c>
      <c r="E53" s="4" t="str">
        <f aca="false">IF(E50&lt;&gt;0,"Check the model",IF(E51&lt;0,"Over the overdraft limit",IF(AND(ISNUMBER(E52),E52&gt;Assumptions!$B$24),"Covenant breached",IF(E9&lt;=0,"Covenant breached","OK"))))</f>
        <v>OK</v>
      </c>
    </row>
  </sheetData>
  <conditionalFormatting sqref="C50:E50">
    <cfRule type="cellIs" priority="2" operator="notEqual" aboveAverage="0" equalAverage="0" bottom="0" percent="0" rank="0" text="" dxfId="0">
      <formula>0</formula>
    </cfRule>
  </conditionalFormatting>
  <conditionalFormatting sqref="C51:E51">
    <cfRule type="cellIs" priority="3" operator="lessThan" aboveAverage="0" equalAverage="0" bottom="0" percent="0" rank="0" text="" dxfId="0">
      <formula>0</formula>
    </cfRule>
  </conditionalFormatting>
  <conditionalFormatting sqref="C53:E53">
    <cfRule type="cellIs" priority="4" operator="equal" aboveAverage="0" equalAverage="0" bottom="0" percent="0" rank="0" text="" dxfId="1">
      <formula>"OK"</formula>
    </cfRule>
    <cfRule type="cellIs" priority="5" operator="not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