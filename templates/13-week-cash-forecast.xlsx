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Forecast" sheetId="2" state="visible" r:id="rId4"/>
    <sheet name="Last week vs forecas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" authorId="0">
      <text>
        <r>
          <rPr>
            <sz val="10"/>
            <rFont val="Arial"/>
            <family val="2"/>
          </rPr>
          <t xml:space="preserve">Type the date the first week ends, e.g. 2026-04-03.</t>
        </r>
      </text>
    </comment>
    <comment ref="B5" authorId="0">
      <text>
        <r>
          <rPr>
            <sz val="10"/>
            <rFont val="Arial"/>
            <family val="2"/>
          </rPr>
          <t xml:space="preserve">Week 1 only: cash in the bank minus overdraft used. Example: $40,600 cash − $100,000 overdraft = ($59,400).</t>
        </r>
      </text>
    </comment>
  </commentList>
</comments>
</file>

<file path=xl/sharedStrings.xml><?xml version="1.0" encoding="utf-8"?>
<sst xmlns="http://schemas.openxmlformats.org/spreadsheetml/2006/main" count="72" uniqueCount="68">
  <si>
    <t xml:space="preserve">13-week cash forecast</t>
  </si>
  <si>
    <t xml:space="preserve">The GM's Ledger course template. Example figures are for BraceWorks Medical, a fictional company: replace them with your own.</t>
  </si>
  <si>
    <t xml:space="preserve">What it's for</t>
  </si>
  <si>
    <t xml:space="preserve">See your cash and borrowing headroom week by week for the next quarter, so a squeeze shows up weeks before it happens (Modules 5 and 10).</t>
  </si>
  <si>
    <t xml:space="preserve">How to use it</t>
  </si>
  <si>
    <t xml:space="preserve">1. Each week, type the opening net cash for week 1: cash in the bank minus any overdraft used.</t>
  </si>
  <si>
    <t xml:space="preserve">2. Fill in expected receipts by customer, using the receivables aging and how each customer actually pays, not the due date.</t>
  </si>
  <si>
    <t xml:space="preserve">3. Fill in expected payments: payroll dates, supplier due dates, rent, loan repayments, tax dates and planned purchases.</t>
  </si>
  <si>
    <t xml:space="preserve">4. Check row 28 (headroom) and the lowest point at the bottom. Below target? Decide now what you would delay, chase or borrow.</t>
  </si>
  <si>
    <t xml:space="preserve">5. Next week, record what actually happened on the second sheet, then delete week 1 and add a new week 13.</t>
  </si>
  <si>
    <t xml:space="preserve">Colour legend</t>
  </si>
  <si>
    <t xml:space="preserve">Blue text on yellow: an input. Type your own figures here.</t>
  </si>
  <si>
    <t xml:space="preserve">Black text: a formula. Don't overwrite these.</t>
  </si>
  <si>
    <t xml:space="preserve">Green text: a figure brought in from another sheet.</t>
  </si>
  <si>
    <t xml:space="preserve">All figures in US dollars. Update every week and roll forward one week.</t>
  </si>
  <si>
    <t xml:space="preserve">First week ending (date)</t>
  </si>
  <si>
    <t xml:space="preserve">2026-04-03</t>
  </si>
  <si>
    <t xml:space="preserve">US dollars</t>
  </si>
  <si>
    <t xml:space="preserve">Week 1</t>
  </si>
  <si>
    <t xml:space="preserve">Week 2</t>
  </si>
  <si>
    <t xml:space="preserve">Week 3</t>
  </si>
  <si>
    <t xml:space="preserve">Week 4</t>
  </si>
  <si>
    <t xml:space="preserve">Week 5</t>
  </si>
  <si>
    <t xml:space="preserve">Week 6</t>
  </si>
  <si>
    <t xml:space="preserve">Week 7</t>
  </si>
  <si>
    <t xml:space="preserve">Week 8</t>
  </si>
  <si>
    <t xml:space="preserve">Week 9</t>
  </si>
  <si>
    <t xml:space="preserve">Week 10</t>
  </si>
  <si>
    <t xml:space="preserve">Week 11</t>
  </si>
  <si>
    <t xml:space="preserve">Week 12</t>
  </si>
  <si>
    <t xml:space="preserve">Week 13</t>
  </si>
  <si>
    <t xml:space="preserve">Total</t>
  </si>
  <si>
    <t xml:space="preserve">Opening net cash (cash minus overdraft drawn)</t>
  </si>
  <si>
    <t xml:space="preserve">Receipts</t>
  </si>
  <si>
    <t xml:space="preserve">   US distributor A</t>
  </si>
  <si>
    <t xml:space="preserve">   Australian hospital supplier</t>
  </si>
  <si>
    <t xml:space="preserve">   German distributor</t>
  </si>
  <si>
    <t xml:space="preserve">   Swedish distributor</t>
  </si>
  <si>
    <t xml:space="preserve">   Other customers</t>
  </si>
  <si>
    <t xml:space="preserve">   Other receipts (VAT refunds, asset sales)</t>
  </si>
  <si>
    <t xml:space="preserve">Total receipts</t>
  </si>
  <si>
    <t xml:space="preserve">Payments</t>
  </si>
  <si>
    <t xml:space="preserve">   Payroll</t>
  </si>
  <si>
    <t xml:space="preserve">   Materials suppliers</t>
  </si>
  <si>
    <t xml:space="preserve">   Rent and utilities</t>
  </si>
  <si>
    <t xml:space="preserve">   Freight and export costs</t>
  </si>
  <si>
    <t xml:space="preserve">   Loan repayments and interest</t>
  </si>
  <si>
    <t xml:space="preserve">   Tax payments</t>
  </si>
  <si>
    <t xml:space="preserve">   Equipment (capex)</t>
  </si>
  <si>
    <t xml:space="preserve">   Other payments</t>
  </si>
  <si>
    <t xml:space="preserve">Total payments</t>
  </si>
  <si>
    <t xml:space="preserve">Net cash flow for the week</t>
  </si>
  <si>
    <t xml:space="preserve">Closing net cash</t>
  </si>
  <si>
    <t xml:space="preserve">Overdraft or working capital limit</t>
  </si>
  <si>
    <t xml:space="preserve">Headroom (closing net cash + limit)</t>
  </si>
  <si>
    <t xml:space="preserve">Minimum headroom you want to keep</t>
  </si>
  <si>
    <t xml:space="preserve">Status</t>
  </si>
  <si>
    <t xml:space="preserve">Lowest headroom in the 13 weeks</t>
  </si>
  <si>
    <t xml:space="preserve">Week of the lowest point</t>
  </si>
  <si>
    <t xml:space="preserve">Example figures are BraceWorks Medical's (fictional), roughly matching Practice Pack B. Replace every yellow cell with your own.</t>
  </si>
  <si>
    <t xml:space="preserve">Last week: forecast vs what actually happened</t>
  </si>
  <si>
    <t xml:space="preserve">Fill this in each week before rolling the forecast forward. Big differences show which customers or costs to forecast better.</t>
  </si>
  <si>
    <t xml:space="preserve">Line</t>
  </si>
  <si>
    <t xml:space="preserve">Forecast</t>
  </si>
  <si>
    <t xml:space="preserve">Actual</t>
  </si>
  <si>
    <t xml:space="preserve">Difference</t>
  </si>
  <si>
    <t xml:space="preserve">Why?</t>
  </si>
  <si>
    <t xml:space="preserve">Example: German distributor paid $1,200 less than expected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</si>
</sst>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\$#,##0;&quot;($&quot;#,##0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C6A61"/>
        <bgColor rgb="FF00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>
        <color rgb="FF16232A"/>
      </top>
      <bottom/>
      <diagonal/>
    </border>
    <border diagonalUp="false" diagonalDown="false">
      <left/>
      <right/>
      <top style="thin">
        <color rgb="FF16232A"/>
      </top>
      <bottom style="double">
        <color rgb="FF16232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8D0CB"/>
        </patternFill>
      </fill>
    </dxf>
    <dxf>
      <fill>
        <patternFill>
          <bgColor rgb="FFFCE8C3"/>
        </patternFill>
      </fill>
    </dxf>
    <dxf>
      <fill>
        <patternFill>
          <bgColor rgb="FFD5EC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C6A61"/>
      <rgbColor rgb="FFC0C0C0"/>
      <rgbColor rgb="FF808080"/>
      <rgbColor rgb="FF9999FF"/>
      <rgbColor rgb="FF993366"/>
      <rgbColor rgb="FFFCE8C3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ECD9"/>
      <rgbColor rgb="FFFFFF99"/>
      <rgbColor rgb="FF99CCFF"/>
      <rgbColor rgb="FFFF99CC"/>
      <rgbColor rgb="FFCC99FF"/>
      <rgbColor rgb="FFF8D0CB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623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45" hidden="false" customHeight="true" outlineLevel="0" collapsed="false">
      <c r="A5" s="4" t="s">
        <v>3</v>
      </c>
    </row>
    <row r="7" customFormat="false" ht="15" hidden="false" customHeight="false" outlineLevel="0" collapsed="false">
      <c r="A7" s="3" t="s">
        <v>4</v>
      </c>
    </row>
    <row r="8" customFormat="false" ht="30" hidden="false" customHeight="true" outlineLevel="0" collapsed="false">
      <c r="A8" s="4" t="s">
        <v>5</v>
      </c>
    </row>
    <row r="9" customFormat="false" ht="30" hidden="false" customHeight="true" outlineLevel="0" collapsed="false">
      <c r="A9" s="4" t="s">
        <v>6</v>
      </c>
    </row>
    <row r="10" customFormat="false" ht="30" hidden="false" customHeight="true" outlineLevel="0" collapsed="false">
      <c r="A10" s="4" t="s">
        <v>7</v>
      </c>
    </row>
    <row r="11" customFormat="false" ht="30" hidden="false" customHeight="true" outlineLevel="0" collapsed="false">
      <c r="A11" s="4" t="s">
        <v>8</v>
      </c>
    </row>
    <row r="12" customFormat="false" ht="30" hidden="false" customHeight="true" outlineLevel="0" collapsed="false">
      <c r="A12" s="4" t="s">
        <v>9</v>
      </c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5" t="s">
        <v>11</v>
      </c>
    </row>
    <row r="16" customFormat="false" ht="15" hidden="false" customHeight="false" outlineLevel="0" collapsed="false">
      <c r="A16" s="0" t="s">
        <v>12</v>
      </c>
    </row>
    <row r="17" customFormat="false" ht="15" hidden="false" customHeight="false" outlineLevel="0" collapsed="false">
      <c r="A17" s="6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5" min="2" style="0" width="11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14</v>
      </c>
    </row>
    <row r="3" customFormat="false" ht="15" hidden="false" customHeight="false" outlineLevel="0" collapsed="false">
      <c r="A3" s="0" t="s">
        <v>15</v>
      </c>
      <c r="B3" s="7" t="s">
        <v>16</v>
      </c>
    </row>
    <row r="4" customFormat="false" ht="15" hidden="false" customHeight="false" outlineLevel="0" collapsed="false">
      <c r="A4" s="8" t="s">
        <v>17</v>
      </c>
      <c r="B4" s="9" t="s">
        <v>18</v>
      </c>
      <c r="C4" s="9" t="s">
        <v>19</v>
      </c>
      <c r="D4" s="9" t="s">
        <v>20</v>
      </c>
      <c r="E4" s="9" t="s">
        <v>21</v>
      </c>
      <c r="F4" s="9" t="s">
        <v>22</v>
      </c>
      <c r="G4" s="9" t="s">
        <v>23</v>
      </c>
      <c r="H4" s="9" t="s">
        <v>24</v>
      </c>
      <c r="I4" s="9" t="s">
        <v>25</v>
      </c>
      <c r="J4" s="9" t="s">
        <v>26</v>
      </c>
      <c r="K4" s="9" t="s">
        <v>27</v>
      </c>
      <c r="L4" s="9" t="s">
        <v>28</v>
      </c>
      <c r="M4" s="9" t="s">
        <v>29</v>
      </c>
      <c r="N4" s="9" t="s">
        <v>30</v>
      </c>
      <c r="O4" s="9" t="s">
        <v>31</v>
      </c>
    </row>
    <row r="5" customFormat="false" ht="15" hidden="false" customHeight="false" outlineLevel="0" collapsed="false">
      <c r="A5" s="3" t="s">
        <v>32</v>
      </c>
      <c r="B5" s="10" t="n">
        <v>-59400</v>
      </c>
      <c r="C5" s="11" t="n">
        <f aca="false">B26</f>
        <v>-58900</v>
      </c>
      <c r="D5" s="11" t="n">
        <f aca="false">C26</f>
        <v>-69400</v>
      </c>
      <c r="E5" s="11" t="n">
        <f aca="false">D26</f>
        <v>-41900</v>
      </c>
      <c r="F5" s="11" t="n">
        <f aca="false">E26</f>
        <v>-55400</v>
      </c>
      <c r="G5" s="11" t="n">
        <f aca="false">F26</f>
        <v>-63900</v>
      </c>
      <c r="H5" s="11" t="n">
        <f aca="false">G26</f>
        <v>-78400</v>
      </c>
      <c r="I5" s="11" t="n">
        <f aca="false">H26</f>
        <v>-54900</v>
      </c>
      <c r="J5" s="11" t="n">
        <f aca="false">I26</f>
        <v>-73400</v>
      </c>
      <c r="K5" s="11" t="n">
        <f aca="false">J26</f>
        <v>-80900</v>
      </c>
      <c r="L5" s="11" t="n">
        <f aca="false">K26</f>
        <v>-95400</v>
      </c>
      <c r="M5" s="11" t="n">
        <f aca="false">L26</f>
        <v>-69900</v>
      </c>
      <c r="N5" s="11" t="n">
        <f aca="false">M26</f>
        <v>-88400</v>
      </c>
    </row>
    <row r="6" customFormat="false" ht="15" hidden="false" customHeight="false" outlineLevel="0" collapsed="false">
      <c r="A6" s="3" t="s">
        <v>33</v>
      </c>
    </row>
    <row r="7" customFormat="false" ht="15" hidden="false" customHeight="false" outlineLevel="0" collapsed="false">
      <c r="A7" s="0" t="s">
        <v>34</v>
      </c>
      <c r="B7" s="10" t="n">
        <v>0</v>
      </c>
      <c r="C7" s="10" t="n">
        <v>0</v>
      </c>
      <c r="D7" s="10" t="n">
        <v>25000</v>
      </c>
      <c r="E7" s="10" t="n">
        <v>0</v>
      </c>
      <c r="F7" s="10" t="n">
        <v>0</v>
      </c>
      <c r="G7" s="10" t="n">
        <v>0</v>
      </c>
      <c r="H7" s="10" t="n">
        <v>25000</v>
      </c>
      <c r="I7" s="10" t="n">
        <v>0</v>
      </c>
      <c r="J7" s="10" t="n">
        <v>0</v>
      </c>
      <c r="K7" s="10" t="n">
        <v>0</v>
      </c>
      <c r="L7" s="10" t="n">
        <v>25000</v>
      </c>
      <c r="M7" s="10" t="n">
        <v>0</v>
      </c>
      <c r="N7" s="10" t="n">
        <v>0</v>
      </c>
      <c r="O7" s="12" t="n">
        <f aca="false">SUM(B7:N7)</f>
        <v>75000</v>
      </c>
    </row>
    <row r="8" customFormat="false" ht="15" hidden="false" customHeight="false" outlineLevel="0" collapsed="false">
      <c r="A8" s="0" t="s">
        <v>35</v>
      </c>
      <c r="B8" s="10" t="n">
        <v>6000</v>
      </c>
      <c r="C8" s="10" t="n">
        <v>0</v>
      </c>
      <c r="D8" s="10" t="n">
        <v>6000</v>
      </c>
      <c r="E8" s="10" t="n">
        <v>6000</v>
      </c>
      <c r="F8" s="10" t="n">
        <v>0</v>
      </c>
      <c r="G8" s="10" t="n">
        <v>6000</v>
      </c>
      <c r="H8" s="10" t="n">
        <v>6000</v>
      </c>
      <c r="I8" s="10" t="n">
        <v>0</v>
      </c>
      <c r="J8" s="10" t="n">
        <v>6000</v>
      </c>
      <c r="K8" s="10" t="n">
        <v>6000</v>
      </c>
      <c r="L8" s="10" t="n">
        <v>0</v>
      </c>
      <c r="M8" s="10" t="n">
        <v>6000</v>
      </c>
      <c r="N8" s="10" t="n">
        <v>6000</v>
      </c>
      <c r="O8" s="12" t="n">
        <f aca="false">SUM(B8:N8)</f>
        <v>54000</v>
      </c>
    </row>
    <row r="9" customFormat="false" ht="15" hidden="false" customHeight="false" outlineLevel="0" collapsed="false">
      <c r="A9" s="0" t="s">
        <v>36</v>
      </c>
      <c r="B9" s="10" t="n">
        <v>8000</v>
      </c>
      <c r="C9" s="10" t="n">
        <v>0</v>
      </c>
      <c r="D9" s="10" t="n">
        <v>5000</v>
      </c>
      <c r="E9" s="10" t="n">
        <v>0</v>
      </c>
      <c r="F9" s="10" t="n">
        <v>5000</v>
      </c>
      <c r="G9" s="10" t="n">
        <v>0</v>
      </c>
      <c r="H9" s="10" t="n">
        <v>5000</v>
      </c>
      <c r="I9" s="10" t="n">
        <v>0</v>
      </c>
      <c r="J9" s="10" t="n">
        <v>5000</v>
      </c>
      <c r="K9" s="10" t="n">
        <v>0</v>
      </c>
      <c r="L9" s="10" t="n">
        <v>5000</v>
      </c>
      <c r="M9" s="10" t="n">
        <v>0</v>
      </c>
      <c r="N9" s="10" t="n">
        <v>5000</v>
      </c>
      <c r="O9" s="12" t="n">
        <f aca="false">SUM(B9:N9)</f>
        <v>38000</v>
      </c>
    </row>
    <row r="10" customFormat="false" ht="15" hidden="false" customHeight="false" outlineLevel="0" collapsed="false">
      <c r="A10" s="0" t="s">
        <v>37</v>
      </c>
      <c r="B10" s="10" t="n">
        <v>0</v>
      </c>
      <c r="C10" s="10" t="n">
        <v>6000</v>
      </c>
      <c r="D10" s="10" t="n">
        <v>0</v>
      </c>
      <c r="E10" s="10" t="n">
        <v>6000</v>
      </c>
      <c r="F10" s="10" t="n">
        <v>0</v>
      </c>
      <c r="G10" s="10" t="n">
        <v>6000</v>
      </c>
      <c r="H10" s="10" t="n">
        <v>0</v>
      </c>
      <c r="I10" s="10" t="n">
        <v>6000</v>
      </c>
      <c r="J10" s="10" t="n">
        <v>0</v>
      </c>
      <c r="K10" s="10" t="n">
        <v>6000</v>
      </c>
      <c r="L10" s="10" t="n">
        <v>0</v>
      </c>
      <c r="M10" s="10" t="n">
        <v>6000</v>
      </c>
      <c r="N10" s="10" t="n">
        <v>0</v>
      </c>
      <c r="O10" s="12" t="n">
        <f aca="false">SUM(B10:N10)</f>
        <v>36000</v>
      </c>
    </row>
    <row r="11" customFormat="false" ht="15" hidden="false" customHeight="false" outlineLevel="0" collapsed="false">
      <c r="A11" s="0" t="s">
        <v>38</v>
      </c>
      <c r="B11" s="10" t="n">
        <v>12000</v>
      </c>
      <c r="C11" s="10" t="n">
        <v>12000</v>
      </c>
      <c r="D11" s="10" t="n">
        <v>8000</v>
      </c>
      <c r="E11" s="10" t="n">
        <v>9000</v>
      </c>
      <c r="F11" s="10" t="n">
        <v>12000</v>
      </c>
      <c r="G11" s="10" t="n">
        <v>8000</v>
      </c>
      <c r="H11" s="10" t="n">
        <v>4000</v>
      </c>
      <c r="I11" s="10" t="n">
        <v>10000</v>
      </c>
      <c r="J11" s="10" t="n">
        <v>7000</v>
      </c>
      <c r="K11" s="10" t="n">
        <v>7000</v>
      </c>
      <c r="L11" s="10" t="n">
        <v>12000</v>
      </c>
      <c r="M11" s="10" t="n">
        <v>4000</v>
      </c>
      <c r="N11" s="10" t="n">
        <v>7000</v>
      </c>
      <c r="O11" s="12" t="n">
        <f aca="false">SUM(B11:N11)</f>
        <v>112000</v>
      </c>
    </row>
    <row r="12" customFormat="false" ht="15" hidden="false" customHeight="false" outlineLevel="0" collapsed="false">
      <c r="A12" s="0" t="s">
        <v>39</v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0</v>
      </c>
      <c r="H12" s="10" t="n">
        <v>0</v>
      </c>
      <c r="I12" s="10" t="n">
        <v>0</v>
      </c>
      <c r="J12" s="10" t="n">
        <v>0</v>
      </c>
      <c r="K12" s="10" t="n">
        <v>0</v>
      </c>
      <c r="L12" s="10" t="n">
        <v>0</v>
      </c>
      <c r="M12" s="10" t="n">
        <v>0</v>
      </c>
      <c r="N12" s="10" t="n">
        <v>0</v>
      </c>
      <c r="O12" s="12" t="n">
        <f aca="false">SUM(B12:N12)</f>
        <v>0</v>
      </c>
    </row>
    <row r="13" customFormat="false" ht="15" hidden="false" customHeight="false" outlineLevel="0" collapsed="false">
      <c r="A13" s="3" t="s">
        <v>40</v>
      </c>
      <c r="B13" s="13" t="n">
        <f aca="false">SUM(B7:B12)</f>
        <v>26000</v>
      </c>
      <c r="C13" s="13" t="n">
        <f aca="false">SUM(C7:C12)</f>
        <v>18000</v>
      </c>
      <c r="D13" s="13" t="n">
        <f aca="false">SUM(D7:D12)</f>
        <v>44000</v>
      </c>
      <c r="E13" s="13" t="n">
        <f aca="false">SUM(E7:E12)</f>
        <v>21000</v>
      </c>
      <c r="F13" s="13" t="n">
        <f aca="false">SUM(F7:F12)</f>
        <v>17000</v>
      </c>
      <c r="G13" s="13" t="n">
        <f aca="false">SUM(G7:G12)</f>
        <v>20000</v>
      </c>
      <c r="H13" s="13" t="n">
        <f aca="false">SUM(H7:H12)</f>
        <v>40000</v>
      </c>
      <c r="I13" s="13" t="n">
        <f aca="false">SUM(I7:I12)</f>
        <v>16000</v>
      </c>
      <c r="J13" s="13" t="n">
        <f aca="false">SUM(J7:J12)</f>
        <v>18000</v>
      </c>
      <c r="K13" s="13" t="n">
        <f aca="false">SUM(K7:K12)</f>
        <v>19000</v>
      </c>
      <c r="L13" s="13" t="n">
        <f aca="false">SUM(L7:L12)</f>
        <v>42000</v>
      </c>
      <c r="M13" s="13" t="n">
        <f aca="false">SUM(M7:M12)</f>
        <v>16000</v>
      </c>
      <c r="N13" s="13" t="n">
        <f aca="false">SUM(N7:N12)</f>
        <v>18000</v>
      </c>
      <c r="O13" s="12" t="n">
        <f aca="false">SUM(B13:N13)</f>
        <v>315000</v>
      </c>
    </row>
    <row r="14" customFormat="false" ht="15" hidden="false" customHeight="false" outlineLevel="0" collapsed="false">
      <c r="A14" s="3" t="s">
        <v>41</v>
      </c>
    </row>
    <row r="15" customFormat="false" ht="15" hidden="false" customHeight="false" outlineLevel="0" collapsed="false">
      <c r="A15" s="0" t="s">
        <v>42</v>
      </c>
      <c r="B15" s="10" t="n">
        <v>0</v>
      </c>
      <c r="C15" s="10" t="n">
        <v>12000</v>
      </c>
      <c r="D15" s="10" t="n">
        <v>0</v>
      </c>
      <c r="E15" s="10" t="n">
        <v>12000</v>
      </c>
      <c r="F15" s="10" t="n">
        <v>0</v>
      </c>
      <c r="G15" s="10" t="n">
        <v>12000</v>
      </c>
      <c r="H15" s="10" t="n">
        <v>0</v>
      </c>
      <c r="I15" s="10" t="n">
        <v>12000</v>
      </c>
      <c r="J15" s="10" t="n">
        <v>0</v>
      </c>
      <c r="K15" s="10" t="n">
        <v>12000</v>
      </c>
      <c r="L15" s="10" t="n">
        <v>0</v>
      </c>
      <c r="M15" s="10" t="n">
        <v>12000</v>
      </c>
      <c r="N15" s="10" t="n">
        <v>0</v>
      </c>
      <c r="O15" s="12" t="n">
        <f aca="false">SUM(B15:N15)</f>
        <v>72000</v>
      </c>
    </row>
    <row r="16" customFormat="false" ht="15" hidden="false" customHeight="false" outlineLevel="0" collapsed="false">
      <c r="A16" s="0" t="s">
        <v>43</v>
      </c>
      <c r="B16" s="10" t="n">
        <v>15000</v>
      </c>
      <c r="C16" s="10" t="n">
        <v>15000</v>
      </c>
      <c r="D16" s="10" t="n">
        <v>15000</v>
      </c>
      <c r="E16" s="10" t="n">
        <v>15000</v>
      </c>
      <c r="F16" s="10" t="n">
        <v>15000</v>
      </c>
      <c r="G16" s="10" t="n">
        <v>15000</v>
      </c>
      <c r="H16" s="10" t="n">
        <v>15000</v>
      </c>
      <c r="I16" s="10" t="n">
        <v>15000</v>
      </c>
      <c r="J16" s="10" t="n">
        <v>15000</v>
      </c>
      <c r="K16" s="10" t="n">
        <v>15000</v>
      </c>
      <c r="L16" s="10" t="n">
        <v>15000</v>
      </c>
      <c r="M16" s="10" t="n">
        <v>15000</v>
      </c>
      <c r="N16" s="10" t="n">
        <v>15000</v>
      </c>
      <c r="O16" s="12" t="n">
        <f aca="false">SUM(B16:N16)</f>
        <v>195000</v>
      </c>
    </row>
    <row r="17" customFormat="false" ht="15" hidden="false" customHeight="false" outlineLevel="0" collapsed="false">
      <c r="A17" s="0" t="s">
        <v>44</v>
      </c>
      <c r="B17" s="10" t="n">
        <v>9000</v>
      </c>
      <c r="C17" s="10" t="n">
        <v>0</v>
      </c>
      <c r="D17" s="10" t="n">
        <v>0</v>
      </c>
      <c r="E17" s="10" t="n">
        <v>0</v>
      </c>
      <c r="F17" s="10" t="n">
        <v>9000</v>
      </c>
      <c r="G17" s="10" t="n">
        <v>0</v>
      </c>
      <c r="H17" s="10" t="n">
        <v>0</v>
      </c>
      <c r="I17" s="10" t="n">
        <v>0</v>
      </c>
      <c r="J17" s="10" t="n">
        <v>9000</v>
      </c>
      <c r="K17" s="10" t="n">
        <v>0</v>
      </c>
      <c r="L17" s="10" t="n">
        <v>0</v>
      </c>
      <c r="M17" s="10" t="n">
        <v>0</v>
      </c>
      <c r="N17" s="10" t="n">
        <v>9000</v>
      </c>
      <c r="O17" s="12" t="n">
        <f aca="false">SUM(B17:N17)</f>
        <v>36000</v>
      </c>
    </row>
    <row r="18" customFormat="false" ht="15" hidden="false" customHeight="false" outlineLevel="0" collapsed="false">
      <c r="A18" s="0" t="s">
        <v>45</v>
      </c>
      <c r="B18" s="10" t="n">
        <v>1000</v>
      </c>
      <c r="C18" s="10" t="n">
        <v>1000</v>
      </c>
      <c r="D18" s="10" t="n">
        <v>1000</v>
      </c>
      <c r="E18" s="10" t="n">
        <v>1000</v>
      </c>
      <c r="F18" s="10" t="n">
        <v>1000</v>
      </c>
      <c r="G18" s="10" t="n">
        <v>1000</v>
      </c>
      <c r="H18" s="10" t="n">
        <v>1000</v>
      </c>
      <c r="I18" s="10" t="n">
        <v>1000</v>
      </c>
      <c r="J18" s="10" t="n">
        <v>1000</v>
      </c>
      <c r="K18" s="10" t="n">
        <v>1000</v>
      </c>
      <c r="L18" s="10" t="n">
        <v>1000</v>
      </c>
      <c r="M18" s="10" t="n">
        <v>1000</v>
      </c>
      <c r="N18" s="10" t="n">
        <v>1000</v>
      </c>
      <c r="O18" s="12" t="n">
        <f aca="false">SUM(B18:N18)</f>
        <v>13000</v>
      </c>
    </row>
    <row r="19" customFormat="false" ht="15" hidden="false" customHeight="false" outlineLevel="0" collapsed="false">
      <c r="A19" s="0" t="s">
        <v>46</v>
      </c>
      <c r="B19" s="10" t="n">
        <v>0</v>
      </c>
      <c r="C19" s="10" t="n">
        <v>0</v>
      </c>
      <c r="D19" s="10" t="n">
        <v>0</v>
      </c>
      <c r="E19" s="10" t="n">
        <v>6000</v>
      </c>
      <c r="F19" s="10" t="n">
        <v>0</v>
      </c>
      <c r="G19" s="10" t="n">
        <v>0</v>
      </c>
      <c r="H19" s="10" t="n">
        <v>0</v>
      </c>
      <c r="I19" s="10" t="n">
        <v>6000</v>
      </c>
      <c r="J19" s="10" t="n">
        <v>0</v>
      </c>
      <c r="K19" s="10" t="n">
        <v>0</v>
      </c>
      <c r="L19" s="10" t="n">
        <v>0</v>
      </c>
      <c r="M19" s="10" t="n">
        <v>6000</v>
      </c>
      <c r="N19" s="10" t="n">
        <v>0</v>
      </c>
      <c r="O19" s="12" t="n">
        <f aca="false">SUM(B19:N19)</f>
        <v>18000</v>
      </c>
    </row>
    <row r="20" customFormat="false" ht="15" hidden="false" customHeight="false" outlineLevel="0" collapsed="false">
      <c r="A20" s="0" t="s">
        <v>47</v>
      </c>
      <c r="B20" s="10" t="n">
        <v>0</v>
      </c>
      <c r="C20" s="10" t="n">
        <v>0</v>
      </c>
      <c r="D20" s="10" t="n">
        <v>0</v>
      </c>
      <c r="E20" s="10" t="n">
        <v>0</v>
      </c>
      <c r="F20" s="10" t="n">
        <v>0</v>
      </c>
      <c r="G20" s="10" t="n">
        <v>6000</v>
      </c>
      <c r="H20" s="10" t="n">
        <v>0</v>
      </c>
      <c r="I20" s="10" t="n">
        <v>0</v>
      </c>
      <c r="J20" s="10" t="n">
        <v>0</v>
      </c>
      <c r="K20" s="10" t="n">
        <v>5000</v>
      </c>
      <c r="L20" s="10" t="n">
        <v>0</v>
      </c>
      <c r="M20" s="10" t="n">
        <v>0</v>
      </c>
      <c r="N20" s="10" t="n">
        <v>0</v>
      </c>
      <c r="O20" s="12" t="n">
        <f aca="false">SUM(B20:N20)</f>
        <v>11000</v>
      </c>
    </row>
    <row r="21" customFormat="false" ht="15" hidden="false" customHeight="false" outlineLevel="0" collapsed="false">
      <c r="A21" s="0" t="s">
        <v>48</v>
      </c>
      <c r="B21" s="10" t="n">
        <v>0</v>
      </c>
      <c r="C21" s="10" t="n">
        <v>0</v>
      </c>
      <c r="D21" s="10" t="n">
        <v>0</v>
      </c>
      <c r="E21" s="10" t="n">
        <v>0</v>
      </c>
      <c r="F21" s="10" t="n">
        <v>0</v>
      </c>
      <c r="G21" s="10" t="n">
        <v>0</v>
      </c>
      <c r="H21" s="10" t="n">
        <v>0</v>
      </c>
      <c r="I21" s="10" t="n">
        <v>0</v>
      </c>
      <c r="J21" s="10" t="n">
        <v>0</v>
      </c>
      <c r="K21" s="10" t="n">
        <v>0</v>
      </c>
      <c r="L21" s="10" t="n">
        <v>0</v>
      </c>
      <c r="M21" s="10" t="n">
        <v>0</v>
      </c>
      <c r="N21" s="10" t="n">
        <v>0</v>
      </c>
      <c r="O21" s="12" t="n">
        <f aca="false">SUM(B21:N21)</f>
        <v>0</v>
      </c>
    </row>
    <row r="22" customFormat="false" ht="15" hidden="false" customHeight="false" outlineLevel="0" collapsed="false">
      <c r="A22" s="0" t="s">
        <v>49</v>
      </c>
      <c r="B22" s="10" t="n">
        <v>500</v>
      </c>
      <c r="C22" s="10" t="n">
        <v>500</v>
      </c>
      <c r="D22" s="10" t="n">
        <v>500</v>
      </c>
      <c r="E22" s="10" t="n">
        <v>500</v>
      </c>
      <c r="F22" s="10" t="n">
        <v>500</v>
      </c>
      <c r="G22" s="10" t="n">
        <v>500</v>
      </c>
      <c r="H22" s="10" t="n">
        <v>500</v>
      </c>
      <c r="I22" s="10" t="n">
        <v>500</v>
      </c>
      <c r="J22" s="10" t="n">
        <v>500</v>
      </c>
      <c r="K22" s="10" t="n">
        <v>500</v>
      </c>
      <c r="L22" s="10" t="n">
        <v>500</v>
      </c>
      <c r="M22" s="10" t="n">
        <v>500</v>
      </c>
      <c r="N22" s="10" t="n">
        <v>500</v>
      </c>
      <c r="O22" s="12" t="n">
        <f aca="false">SUM(B22:N22)</f>
        <v>6500</v>
      </c>
    </row>
    <row r="23" customFormat="false" ht="15" hidden="false" customHeight="false" outlineLevel="0" collapsed="false">
      <c r="A23" s="3" t="s">
        <v>50</v>
      </c>
      <c r="B23" s="13" t="n">
        <f aca="false">SUM(B15:B22)</f>
        <v>25500</v>
      </c>
      <c r="C23" s="13" t="n">
        <f aca="false">SUM(C15:C22)</f>
        <v>28500</v>
      </c>
      <c r="D23" s="13" t="n">
        <f aca="false">SUM(D15:D22)</f>
        <v>16500</v>
      </c>
      <c r="E23" s="13" t="n">
        <f aca="false">SUM(E15:E22)</f>
        <v>34500</v>
      </c>
      <c r="F23" s="13" t="n">
        <f aca="false">SUM(F15:F22)</f>
        <v>25500</v>
      </c>
      <c r="G23" s="13" t="n">
        <f aca="false">SUM(G15:G22)</f>
        <v>34500</v>
      </c>
      <c r="H23" s="13" t="n">
        <f aca="false">SUM(H15:H22)</f>
        <v>16500</v>
      </c>
      <c r="I23" s="13" t="n">
        <f aca="false">SUM(I15:I22)</f>
        <v>34500</v>
      </c>
      <c r="J23" s="13" t="n">
        <f aca="false">SUM(J15:J22)</f>
        <v>25500</v>
      </c>
      <c r="K23" s="13" t="n">
        <f aca="false">SUM(K15:K22)</f>
        <v>33500</v>
      </c>
      <c r="L23" s="13" t="n">
        <f aca="false">SUM(L15:L22)</f>
        <v>16500</v>
      </c>
      <c r="M23" s="13" t="n">
        <f aca="false">SUM(M15:M22)</f>
        <v>34500</v>
      </c>
      <c r="N23" s="13" t="n">
        <f aca="false">SUM(N15:N22)</f>
        <v>25500</v>
      </c>
      <c r="O23" s="12" t="n">
        <f aca="false">SUM(B23:N23)</f>
        <v>351500</v>
      </c>
    </row>
    <row r="25" customFormat="false" ht="15" hidden="false" customHeight="false" outlineLevel="0" collapsed="false">
      <c r="A25" s="0" t="s">
        <v>51</v>
      </c>
      <c r="B25" s="11" t="n">
        <f aca="false">B13-B23</f>
        <v>500</v>
      </c>
      <c r="C25" s="11" t="n">
        <f aca="false">C13-C23</f>
        <v>-10500</v>
      </c>
      <c r="D25" s="11" t="n">
        <f aca="false">D13-D23</f>
        <v>27500</v>
      </c>
      <c r="E25" s="11" t="n">
        <f aca="false">E13-E23</f>
        <v>-13500</v>
      </c>
      <c r="F25" s="11" t="n">
        <f aca="false">F13-F23</f>
        <v>-8500</v>
      </c>
      <c r="G25" s="11" t="n">
        <f aca="false">G13-G23</f>
        <v>-14500</v>
      </c>
      <c r="H25" s="11" t="n">
        <f aca="false">H13-H23</f>
        <v>23500</v>
      </c>
      <c r="I25" s="11" t="n">
        <f aca="false">I13-I23</f>
        <v>-18500</v>
      </c>
      <c r="J25" s="11" t="n">
        <f aca="false">J13-J23</f>
        <v>-7500</v>
      </c>
      <c r="K25" s="11" t="n">
        <f aca="false">K13-K23</f>
        <v>-14500</v>
      </c>
      <c r="L25" s="11" t="n">
        <f aca="false">L13-L23</f>
        <v>25500</v>
      </c>
      <c r="M25" s="11" t="n">
        <f aca="false">M13-M23</f>
        <v>-18500</v>
      </c>
      <c r="N25" s="11" t="n">
        <f aca="false">N13-N23</f>
        <v>-7500</v>
      </c>
      <c r="O25" s="12" t="n">
        <f aca="false">SUM(B25:N25)</f>
        <v>-36500</v>
      </c>
    </row>
    <row r="26" customFormat="false" ht="15" hidden="false" customHeight="false" outlineLevel="0" collapsed="false">
      <c r="A26" s="3" t="s">
        <v>52</v>
      </c>
      <c r="B26" s="12" t="n">
        <f aca="false">B5+B25</f>
        <v>-58900</v>
      </c>
      <c r="C26" s="12" t="n">
        <f aca="false">C5+C25</f>
        <v>-69400</v>
      </c>
      <c r="D26" s="12" t="n">
        <f aca="false">D5+D25</f>
        <v>-41900</v>
      </c>
      <c r="E26" s="12" t="n">
        <f aca="false">E5+E25</f>
        <v>-55400</v>
      </c>
      <c r="F26" s="12" t="n">
        <f aca="false">F5+F25</f>
        <v>-63900</v>
      </c>
      <c r="G26" s="12" t="n">
        <f aca="false">G5+G25</f>
        <v>-78400</v>
      </c>
      <c r="H26" s="12" t="n">
        <f aca="false">H5+H25</f>
        <v>-54900</v>
      </c>
      <c r="I26" s="12" t="n">
        <f aca="false">I5+I25</f>
        <v>-73400</v>
      </c>
      <c r="J26" s="12" t="n">
        <f aca="false">J5+J25</f>
        <v>-80900</v>
      </c>
      <c r="K26" s="12" t="n">
        <f aca="false">K5+K25</f>
        <v>-95400</v>
      </c>
      <c r="L26" s="12" t="n">
        <f aca="false">L5+L25</f>
        <v>-69900</v>
      </c>
      <c r="M26" s="12" t="n">
        <f aca="false">M5+M25</f>
        <v>-88400</v>
      </c>
      <c r="N26" s="12" t="n">
        <f aca="false">N5+N25</f>
        <v>-95900</v>
      </c>
    </row>
    <row r="27" customFormat="false" ht="15" hidden="false" customHeight="false" outlineLevel="0" collapsed="false">
      <c r="A27" s="0" t="s">
        <v>53</v>
      </c>
      <c r="B27" s="10" t="n">
        <v>150000</v>
      </c>
      <c r="C27" s="11" t="n">
        <f aca="false">B27</f>
        <v>150000</v>
      </c>
      <c r="D27" s="11" t="n">
        <f aca="false">C27</f>
        <v>150000</v>
      </c>
      <c r="E27" s="11" t="n">
        <f aca="false">D27</f>
        <v>150000</v>
      </c>
      <c r="F27" s="11" t="n">
        <f aca="false">E27</f>
        <v>150000</v>
      </c>
      <c r="G27" s="11" t="n">
        <f aca="false">F27</f>
        <v>150000</v>
      </c>
      <c r="H27" s="11" t="n">
        <f aca="false">G27</f>
        <v>150000</v>
      </c>
      <c r="I27" s="11" t="n">
        <f aca="false">H27</f>
        <v>150000</v>
      </c>
      <c r="J27" s="11" t="n">
        <f aca="false">I27</f>
        <v>150000</v>
      </c>
      <c r="K27" s="11" t="n">
        <f aca="false">J27</f>
        <v>150000</v>
      </c>
      <c r="L27" s="11" t="n">
        <f aca="false">K27</f>
        <v>150000</v>
      </c>
      <c r="M27" s="11" t="n">
        <f aca="false">L27</f>
        <v>150000</v>
      </c>
      <c r="N27" s="11" t="n">
        <f aca="false">M27</f>
        <v>150000</v>
      </c>
    </row>
    <row r="28" customFormat="false" ht="15" hidden="false" customHeight="false" outlineLevel="0" collapsed="false">
      <c r="A28" s="3" t="s">
        <v>54</v>
      </c>
      <c r="B28" s="14" t="n">
        <f aca="false">B26+B27</f>
        <v>91100</v>
      </c>
      <c r="C28" s="14" t="n">
        <f aca="false">C26+C27</f>
        <v>80600</v>
      </c>
      <c r="D28" s="14" t="n">
        <f aca="false">D26+D27</f>
        <v>108100</v>
      </c>
      <c r="E28" s="14" t="n">
        <f aca="false">E26+E27</f>
        <v>94600</v>
      </c>
      <c r="F28" s="14" t="n">
        <f aca="false">F26+F27</f>
        <v>86100</v>
      </c>
      <c r="G28" s="14" t="n">
        <f aca="false">G26+G27</f>
        <v>71600</v>
      </c>
      <c r="H28" s="14" t="n">
        <f aca="false">H26+H27</f>
        <v>95100</v>
      </c>
      <c r="I28" s="14" t="n">
        <f aca="false">I26+I27</f>
        <v>76600</v>
      </c>
      <c r="J28" s="14" t="n">
        <f aca="false">J26+J27</f>
        <v>69100</v>
      </c>
      <c r="K28" s="14" t="n">
        <f aca="false">K26+K27</f>
        <v>54600</v>
      </c>
      <c r="L28" s="14" t="n">
        <f aca="false">L26+L27</f>
        <v>80100</v>
      </c>
      <c r="M28" s="14" t="n">
        <f aca="false">M26+M27</f>
        <v>61600</v>
      </c>
      <c r="N28" s="14" t="n">
        <f aca="false">N26+N27</f>
        <v>54100</v>
      </c>
    </row>
    <row r="29" customFormat="false" ht="15" hidden="false" customHeight="false" outlineLevel="0" collapsed="false">
      <c r="A29" s="0" t="s">
        <v>55</v>
      </c>
      <c r="B29" s="10" t="n">
        <v>30000</v>
      </c>
      <c r="C29" s="11" t="n">
        <f aca="false">B29</f>
        <v>30000</v>
      </c>
      <c r="D29" s="11" t="n">
        <f aca="false">C29</f>
        <v>30000</v>
      </c>
      <c r="E29" s="11" t="n">
        <f aca="false">D29</f>
        <v>30000</v>
      </c>
      <c r="F29" s="11" t="n">
        <f aca="false">E29</f>
        <v>30000</v>
      </c>
      <c r="G29" s="11" t="n">
        <f aca="false">F29</f>
        <v>30000</v>
      </c>
      <c r="H29" s="11" t="n">
        <f aca="false">G29</f>
        <v>30000</v>
      </c>
      <c r="I29" s="11" t="n">
        <f aca="false">H29</f>
        <v>30000</v>
      </c>
      <c r="J29" s="11" t="n">
        <f aca="false">I29</f>
        <v>30000</v>
      </c>
      <c r="K29" s="11" t="n">
        <f aca="false">J29</f>
        <v>30000</v>
      </c>
      <c r="L29" s="11" t="n">
        <f aca="false">K29</f>
        <v>30000</v>
      </c>
      <c r="M29" s="11" t="n">
        <f aca="false">L29</f>
        <v>30000</v>
      </c>
      <c r="N29" s="11" t="n">
        <f aca="false">M29</f>
        <v>30000</v>
      </c>
    </row>
    <row r="30" customFormat="false" ht="15" hidden="false" customHeight="false" outlineLevel="0" collapsed="false">
      <c r="A30" s="0" t="s">
        <v>56</v>
      </c>
      <c r="B30" s="15" t="str">
        <f aca="false">IF(B28&lt;0,"OUT OF CASH",IF(B28&lt;B29,"Below target","OK"))</f>
        <v>OK</v>
      </c>
      <c r="C30" s="15" t="str">
        <f aca="false">IF(C28&lt;0,"OUT OF CASH",IF(C28&lt;C29,"Below target","OK"))</f>
        <v>OK</v>
      </c>
      <c r="D30" s="15" t="str">
        <f aca="false">IF(D28&lt;0,"OUT OF CASH",IF(D28&lt;D29,"Below target","OK"))</f>
        <v>OK</v>
      </c>
      <c r="E30" s="15" t="str">
        <f aca="false">IF(E28&lt;0,"OUT OF CASH",IF(E28&lt;E29,"Below target","OK"))</f>
        <v>OK</v>
      </c>
      <c r="F30" s="15" t="str">
        <f aca="false">IF(F28&lt;0,"OUT OF CASH",IF(F28&lt;F29,"Below target","OK"))</f>
        <v>OK</v>
      </c>
      <c r="G30" s="15" t="str">
        <f aca="false">IF(G28&lt;0,"OUT OF CASH",IF(G28&lt;G29,"Below target","OK"))</f>
        <v>OK</v>
      </c>
      <c r="H30" s="15" t="str">
        <f aca="false">IF(H28&lt;0,"OUT OF CASH",IF(H28&lt;H29,"Below target","OK"))</f>
        <v>OK</v>
      </c>
      <c r="I30" s="15" t="str">
        <f aca="false">IF(I28&lt;0,"OUT OF CASH",IF(I28&lt;I29,"Below target","OK"))</f>
        <v>OK</v>
      </c>
      <c r="J30" s="15" t="str">
        <f aca="false">IF(J28&lt;0,"OUT OF CASH",IF(J28&lt;J29,"Below target","OK"))</f>
        <v>OK</v>
      </c>
      <c r="K30" s="15" t="str">
        <f aca="false">IF(K28&lt;0,"OUT OF CASH",IF(K28&lt;K29,"Below target","OK"))</f>
        <v>OK</v>
      </c>
      <c r="L30" s="15" t="str">
        <f aca="false">IF(L28&lt;0,"OUT OF CASH",IF(L28&lt;L29,"Below target","OK"))</f>
        <v>OK</v>
      </c>
      <c r="M30" s="15" t="str">
        <f aca="false">IF(M28&lt;0,"OUT OF CASH",IF(M28&lt;M29,"Below target","OK"))</f>
        <v>OK</v>
      </c>
      <c r="N30" s="15" t="str">
        <f aca="false">IF(N28&lt;0,"OUT OF CASH",IF(N28&lt;N29,"Below target","OK"))</f>
        <v>OK</v>
      </c>
    </row>
    <row r="32" customFormat="false" ht="15" hidden="false" customHeight="false" outlineLevel="0" collapsed="false">
      <c r="A32" s="3" t="s">
        <v>57</v>
      </c>
      <c r="B32" s="12" t="n">
        <f aca="false">MIN(B28:N28)</f>
        <v>54100</v>
      </c>
    </row>
    <row r="33" customFormat="false" ht="15" hidden="false" customHeight="false" outlineLevel="0" collapsed="false">
      <c r="A33" s="0" t="s">
        <v>58</v>
      </c>
      <c r="B33" s="0" t="str">
        <f aca="false">INDEX($B$4:$N$4,MATCH(MIN(B28:N28),B28:N28,0))</f>
        <v>Week 13</v>
      </c>
    </row>
    <row r="35" customFormat="false" ht="15" hidden="false" customHeight="false" outlineLevel="0" collapsed="false">
      <c r="A35" s="2" t="s">
        <v>59</v>
      </c>
    </row>
  </sheetData>
  <conditionalFormatting sqref="B30:N30">
    <cfRule type="cellIs" priority="2" operator="equal" aboveAverage="0" equalAverage="0" bottom="0" percent="0" rank="0" text="" dxfId="0">
      <formula>"OUT OF CASH"</formula>
    </cfRule>
    <cfRule type="cellIs" priority="3" operator="equal" aboveAverage="0" equalAverage="0" bottom="0" percent="0" rank="0" text="" dxfId="1">
      <formula>"Below target"</formula>
    </cfRule>
    <cfRule type="cellIs" priority="4" operator="equal" aboveAverage="0" equalAverage="0" bottom="0" percent="0" rank="0" text="" dxfId="2">
      <formula>"OK"</formula>
    </cfRule>
  </conditionalFormatting>
  <conditionalFormatting sqref="B28:N28">
    <cfRule type="expression" priority="5" aboveAverage="0" equalAverage="0" bottom="0" percent="0" rank="0" text="" dxfId="0">
      <formula>B28&lt;B29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4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60</v>
      </c>
    </row>
    <row r="2" customFormat="false" ht="15" hidden="false" customHeight="false" outlineLevel="0" collapsed="false">
      <c r="A2" s="2" t="s">
        <v>61</v>
      </c>
    </row>
    <row r="4" customFormat="false" ht="15" hidden="false" customHeight="false" outlineLevel="0" collapsed="false">
      <c r="A4" s="8" t="s">
        <v>62</v>
      </c>
      <c r="B4" s="9" t="s">
        <v>63</v>
      </c>
      <c r="C4" s="9" t="s">
        <v>64</v>
      </c>
      <c r="D4" s="9" t="s">
        <v>65</v>
      </c>
      <c r="E4" s="9" t="s">
        <v>66</v>
      </c>
    </row>
    <row r="5" customFormat="false" ht="15" hidden="false" customHeight="false" outlineLevel="0" collapsed="false">
      <c r="A5" s="0" t="s">
        <v>40</v>
      </c>
      <c r="B5" s="16" t="n">
        <f aca="false">Forecast!B13</f>
        <v>26000</v>
      </c>
      <c r="C5" s="10" t="n">
        <v>24800</v>
      </c>
      <c r="D5" s="11" t="n">
        <f aca="false">C5-B5</f>
        <v>-1200</v>
      </c>
      <c r="E5" s="5" t="s">
        <v>67</v>
      </c>
    </row>
    <row r="6" customFormat="false" ht="15" hidden="false" customHeight="false" outlineLevel="0" collapsed="false">
      <c r="A6" s="0" t="s">
        <v>50</v>
      </c>
      <c r="B6" s="16" t="n">
        <f aca="false">Forecast!B23</f>
        <v>25500</v>
      </c>
      <c r="C6" s="10" t="n">
        <v>26100</v>
      </c>
      <c r="D6" s="11" t="n">
        <f aca="false">C6-B6</f>
        <v>600</v>
      </c>
      <c r="E6" s="5"/>
    </row>
    <row r="7" customFormat="false" ht="15" hidden="false" customHeight="false" outlineLevel="0" collapsed="false">
      <c r="A7" s="0" t="s">
        <v>52</v>
      </c>
      <c r="B7" s="16" t="n">
        <f aca="false">Forecast!B26</f>
        <v>-58900</v>
      </c>
      <c r="C7" s="10" t="n">
        <v>-60700</v>
      </c>
      <c r="D7" s="11" t="n">
        <f aca="false">C7-B7</f>
        <v>-1800</v>
      </c>
      <c r="E7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2026-10-03T10:25:15Z</dcterms:created>
  <dc:creator>openpyxl</dc:creator>
  <dc:description/>
  <dc:language>en-US</dc:language>
  <cp:lastModifiedBy/>
  <dcterms:modified xsi:type="dcterms:W3CDTF">2026-10-03T10:25:15Z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