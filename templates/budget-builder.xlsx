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ssumptions" sheetId="2" state="visible" r:id="rId4"/>
    <sheet name="Budget P&amp;L" sheetId="3" state="visible" r:id="rId5"/>
    <sheet name="Cash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<sst xmlns="http://schemas.openxmlformats.org/spreadsheetml/2006/main" count="132" uniqueCount="114">
  <si>
    <t xml:space="preserve">Budget builder</t>
  </si>
  <si>
    <t xml:space="preserve">The GM's Ledger course template. Example figures are for BraceWorks Medical, a fictional company: replace them with your own.</t>
  </si>
  <si>
    <t xml:space="preserve">What it's for</t>
  </si>
  <si>
    <t xml:space="preserve">Build next year's budget in the right order: sales, materials, labour, overheads, then profit and cash (Module 15).</t>
  </si>
  <si>
    <t xml:space="preserve">How to use it</t>
  </si>
  <si>
    <t xml:space="preserve">1. On the Assumptions sheet, enter last year's units, prices and costs for each product, and your growth, price and inflation assumptions.</t>
  </si>
  <si>
    <t xml:space="preserve">2. Enter wages, overheads, selling costs, interest, tax rate, capex and loan repayments.</t>
  </si>
  <si>
    <t xml:space="preserve">3. Set the monthly phasing so it reflects your seasons. It must total 100%.</t>
  </si>
  <si>
    <t xml:space="preserve">4. Read the Budget P&amp;L for monthly profit, contribution margin and break-even, then the Cash summary for whether you need extra funding.</t>
  </si>
  <si>
    <t xml:space="preserve">5. Save a copy as the approved budget. Use a separate copy for monthly forecasts.</t>
  </si>
  <si>
    <t xml:space="preserve">Colour legend</t>
  </si>
  <si>
    <t xml:space="preserve">Blue text on yellow: an input. Type your own figures here.</t>
  </si>
  <si>
    <t xml:space="preserve">Black text: a formula. Don't overwrite these.</t>
  </si>
  <si>
    <t xml:space="preserve">Green text: a figure brought in from another sheet.</t>
  </si>
  <si>
    <t xml:space="preserve">Simplifications: production wages, overheads and selling costs are treated as fixed and spread evenly; materials, freight and commission move with sales. Tax is a simple rate on profit.</t>
  </si>
  <si>
    <t xml:space="preserve">Budget assumptions</t>
  </si>
  <si>
    <t xml:space="preserve">US dollars. Change the yellow cells; the budget P&amp;L and cash summary update.</t>
  </si>
  <si>
    <t xml:space="preserve">Product</t>
  </si>
  <si>
    <t xml:space="preserve">Units last year</t>
  </si>
  <si>
    <t xml:space="preserve">Volume growth</t>
  </si>
  <si>
    <t xml:space="preserve">Price last year</t>
  </si>
  <si>
    <t xml:space="preserve">Price increase</t>
  </si>
  <si>
    <t xml:space="preserve">Material cost per unit last year</t>
  </si>
  <si>
    <t xml:space="preserve">Material inflation</t>
  </si>
  <si>
    <t xml:space="preserve">Budget units</t>
  </si>
  <si>
    <t xml:space="preserve">Budget price</t>
  </si>
  <si>
    <t xml:space="preserve">Budget material per unit</t>
  </si>
  <si>
    <t xml:space="preserve">Budget revenue</t>
  </si>
  <si>
    <t xml:space="preserve">Budget materials</t>
  </si>
  <si>
    <t xml:space="preserve">Mattresses</t>
  </si>
  <si>
    <t xml:space="preserve">Slings</t>
  </si>
  <si>
    <t xml:space="preserve">Braces</t>
  </si>
  <si>
    <t xml:space="preserve">Total</t>
  </si>
  <si>
    <t xml:space="preserve">Other assumptions</t>
  </si>
  <si>
    <t xml:space="preserve">Production wages last year</t>
  </si>
  <si>
    <t xml:space="preserve">Direct labour from last year's P&amp;L</t>
  </si>
  <si>
    <t xml:space="preserve">Wage increase</t>
  </si>
  <si>
    <t xml:space="preserve">Extra production staff</t>
  </si>
  <si>
    <t xml:space="preserve">Cost of one extra production employee (a year)</t>
  </si>
  <si>
    <t xml:space="preserve">Including benefits</t>
  </si>
  <si>
    <t xml:space="preserve">Factory overhead last year (excluding depreciation)</t>
  </si>
  <si>
    <t xml:space="preserve">Depreciation for the year</t>
  </si>
  <si>
    <t xml:space="preserve">Existing assets plus new equipment</t>
  </si>
  <si>
    <t xml:space="preserve">Overhead inflation</t>
  </si>
  <si>
    <t xml:space="preserve">Selling and admin costs last year (excluding freight and commission)</t>
  </si>
  <si>
    <t xml:space="preserve">Selling and admin inflation</t>
  </si>
  <si>
    <t xml:space="preserve">Freight and export costs, % of sales</t>
  </si>
  <si>
    <t xml:space="preserve">Sales commission, % of sales</t>
  </si>
  <si>
    <t xml:space="preserve">Interest for the year</t>
  </si>
  <si>
    <t xml:space="preserve">Tax rate</t>
  </si>
  <si>
    <t xml:space="preserve">Example rate; see Module 19 for your country</t>
  </si>
  <si>
    <t xml:space="preserve">Equipment purchases (capex)</t>
  </si>
  <si>
    <t xml:space="preserve">Loan repayments</t>
  </si>
  <si>
    <t xml:space="preserve">Receivable days (DSO)</t>
  </si>
  <si>
    <t xml:space="preserve">Target</t>
  </si>
  <si>
    <t xml:space="preserve">Inventory days</t>
  </si>
  <si>
    <t xml:space="preserve">Payable days</t>
  </si>
  <si>
    <t xml:space="preserve">Opening receivables</t>
  </si>
  <si>
    <t xml:space="preserve">From the balance sheet</t>
  </si>
  <si>
    <t xml:space="preserve">Opening inventory</t>
  </si>
  <si>
    <t xml:space="preserve">Opening payables</t>
  </si>
  <si>
    <t xml:space="preserve">Opening cash</t>
  </si>
  <si>
    <t xml:space="preserve">Monthly sales phasing (must total 100%)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</si>
  <si>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</si>
  <si>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</si>
  <si>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</si>
  <si>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</si>
  <si>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</si>
  <si>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</si>
  <si>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</si>
  <si>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</si>
  <si>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</si>
  <si>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</si>
  <si>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</si>
  <si>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</si>
  <si>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Share of the year's sales</t>
  </si>
  <si>
    <t xml:space="preserve">Budget income statement by month</t>
  </si>
  <si>
    <t xml:space="preserve">US dollars. All formulas: change the Assumptions sheet, not this one.</t>
  </si>
  <si>
    <t xml:space="preserve">US dollars</t>
  </si>
  <si>
    <t xml:space="preserve">% of revenue</t>
  </si>
  <si>
    <t xml:space="preserve">Revenue: mattresses</t>
  </si>
  <si>
    <t xml:space="preserve">Revenue: slings</t>
  </si>
  <si>
    <t xml:space="preserve">Revenue: braces</t>
  </si>
  <si>
    <t xml:space="preserve">Total revenue</t>
  </si>
  <si>
    <t xml:space="preserve">Materials</t>
  </si>
  <si>
    <t xml:space="preserve">Freight and export costs</t>
  </si>
  <si>
    <t xml:space="preserve">Sales commission</t>
  </si>
  <si>
    <t xml:space="preserve">Contribution</t>
  </si>
  <si>
    <t xml:space="preserve">Production wages</t>
  </si>
  <si>
    <t xml:space="preserve">Factory overhead</t>
  </si>
  <si>
    <t xml:space="preserve">Depreciation</t>
  </si>
  <si>
    <t xml:space="preserve">Selling and admin</t>
  </si>
  <si>
    <t xml:space="preserve">Operating profit</t>
  </si>
  <si>
    <t xml:space="preserve">Interest</t>
  </si>
  <si>
    <t xml:space="preserve">Profit before tax</t>
  </si>
  <si>
    <t xml:space="preserve">Income tax</t>
  </si>
  <si>
    <t xml:space="preserve">Net profit</t>
  </si>
  <si>
    <t xml:space="preserve">Gross margin check: (revenue − materials − wages − overhead − depreciation) ÷ revenue</t>
  </si>
  <si>
    <t xml:space="preserve">Contribution margin</t>
  </si>
  <si>
    <t xml:space="preserve">Break-even sales</t>
  </si>
  <si>
    <t xml:space="preserve">Income tax is worked out on year-to-date profit, so losses early in the year reduce tax later in the year. Real tax rules differ (Module 19).</t>
  </si>
  <si>
    <t xml:space="preserve">Budget cash summary for the year</t>
  </si>
  <si>
    <t xml:space="preserve">Working capital is estimated from the target days on the Assumptions sheet.</t>
  </si>
  <si>
    <t xml:space="preserve">Add back depreciation</t>
  </si>
  <si>
    <t xml:space="preserve">Closing receivables (DSO × revenue ÷ 365)</t>
  </si>
  <si>
    <t xml:space="preserve">Cash freed from receivables (negative = more cash tied up)</t>
  </si>
  <si>
    <t xml:space="preserve">Closing inventory (inventory days × materials, wages and factory overhead ÷ 365)</t>
  </si>
  <si>
    <t xml:space="preserve">Cash freed from inventory (negative = more cash tied up)</t>
  </si>
  <si>
    <t xml:space="preserve">Closing payables (payable days × materials ÷ 365)</t>
  </si>
  <si>
    <t xml:space="preserve">Cash from more supplier credit</t>
  </si>
  <si>
    <t xml:space="preserve">Cash from operations</t>
  </si>
  <si>
    <t xml:space="preserve">Equipment purchases</t>
  </si>
  <si>
    <t xml:space="preserve">Net cash flow for the year</t>
  </si>
  <si>
    <t xml:space="preserve">Closing cash (negative = extra borrowing needed)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</si>
</sst>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6A61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16232A"/>
      </top>
      <bottom/>
      <diagonal/>
    </border>
    <border diagonalUp="false" diagonalDown="false">
      <left/>
      <right/>
      <top style="thin">
        <color rgb="FF16232A"/>
      </top>
      <bottom style="double">
        <color rgb="FF1623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A61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0" hidden="false" customHeight="true" outlineLevel="0" collapsed="false">
      <c r="A8" s="4" t="s">
        <v>5</v>
      </c>
    </row>
    <row r="9" customFormat="false" ht="30" hidden="false" customHeight="true" outlineLevel="0" collapsed="false">
      <c r="A9" s="4" t="s">
        <v>6</v>
      </c>
    </row>
    <row r="10" customFormat="false" ht="30" hidden="false" customHeight="true" outlineLevel="0" collapsed="false">
      <c r="A10" s="4" t="s">
        <v>7</v>
      </c>
    </row>
    <row r="11" customFormat="false" ht="30" hidden="false" customHeight="true" outlineLevel="0" collapsed="false">
      <c r="A11" s="4" t="s">
        <v>8</v>
      </c>
    </row>
    <row r="12" customFormat="false" ht="30" hidden="false" customHeight="tru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6" t="s">
        <v>13</v>
      </c>
    </row>
    <row r="19" customFormat="false" ht="30" hidden="false" customHeight="true" outlineLevel="0" collapsed="false">
      <c r="A1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2" min="11" style="0" width="15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23.85" hidden="false" customHeight="false" outlineLevel="0" collapsed="false">
      <c r="A4" s="7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</row>
    <row r="5" customFormat="false" ht="15" hidden="false" customHeight="false" outlineLevel="0" collapsed="false">
      <c r="A5" s="0" t="s">
        <v>29</v>
      </c>
      <c r="B5" s="9" t="n">
        <v>2800</v>
      </c>
      <c r="C5" s="10" t="n">
        <v>0.05</v>
      </c>
      <c r="D5" s="11" t="n">
        <v>180</v>
      </c>
      <c r="E5" s="10" t="n">
        <v>0.03</v>
      </c>
      <c r="F5" s="11" t="n">
        <v>95</v>
      </c>
      <c r="G5" s="10" t="n">
        <v>0.04</v>
      </c>
      <c r="H5" s="12" t="n">
        <f aca="false">B5*(1+C5)</f>
        <v>2940</v>
      </c>
      <c r="I5" s="13" t="n">
        <f aca="false">D5*(1+E5)</f>
        <v>185.4</v>
      </c>
      <c r="J5" s="13" t="n">
        <f aca="false">F5*(1+G5)</f>
        <v>98.8</v>
      </c>
      <c r="K5" s="14" t="n">
        <f aca="false">H5*I5</f>
        <v>545076</v>
      </c>
      <c r="L5" s="14" t="n">
        <f aca="false">H5*J5</f>
        <v>290472</v>
      </c>
    </row>
    <row r="6" customFormat="false" ht="15" hidden="false" customHeight="false" outlineLevel="0" collapsed="false">
      <c r="A6" s="0" t="s">
        <v>30</v>
      </c>
      <c r="B6" s="9" t="n">
        <v>7200</v>
      </c>
      <c r="C6" s="10" t="n">
        <v>0.05</v>
      </c>
      <c r="D6" s="11" t="n">
        <v>45</v>
      </c>
      <c r="E6" s="10" t="n">
        <v>0.03</v>
      </c>
      <c r="F6" s="11" t="n">
        <v>18</v>
      </c>
      <c r="G6" s="10" t="n">
        <v>0.04</v>
      </c>
      <c r="H6" s="12" t="n">
        <f aca="false">B6*(1+C6)</f>
        <v>7560</v>
      </c>
      <c r="I6" s="13" t="n">
        <f aca="false">D6*(1+E6)</f>
        <v>46.35</v>
      </c>
      <c r="J6" s="13" t="n">
        <f aca="false">F6*(1+G6)</f>
        <v>18.72</v>
      </c>
      <c r="K6" s="14" t="n">
        <f aca="false">H6*I6</f>
        <v>350406</v>
      </c>
      <c r="L6" s="14" t="n">
        <f aca="false">H6*J6</f>
        <v>141523.2</v>
      </c>
    </row>
    <row r="7" customFormat="false" ht="15" hidden="false" customHeight="false" outlineLevel="0" collapsed="false">
      <c r="A7" s="0" t="s">
        <v>31</v>
      </c>
      <c r="B7" s="9" t="n">
        <v>13000</v>
      </c>
      <c r="C7" s="10" t="n">
        <v>0.05</v>
      </c>
      <c r="D7" s="11" t="n">
        <v>28</v>
      </c>
      <c r="E7" s="10" t="n">
        <v>0.03</v>
      </c>
      <c r="F7" s="11" t="n">
        <v>11.8</v>
      </c>
      <c r="G7" s="10" t="n">
        <v>0.04</v>
      </c>
      <c r="H7" s="12" t="n">
        <f aca="false">B7*(1+C7)</f>
        <v>13650</v>
      </c>
      <c r="I7" s="13" t="n">
        <f aca="false">D7*(1+E7)</f>
        <v>28.84</v>
      </c>
      <c r="J7" s="13" t="n">
        <f aca="false">F7*(1+G7)</f>
        <v>12.272</v>
      </c>
      <c r="K7" s="14" t="n">
        <f aca="false">H7*I7</f>
        <v>393666</v>
      </c>
      <c r="L7" s="14" t="n">
        <f aca="false">H7*J7</f>
        <v>167512.8</v>
      </c>
    </row>
    <row r="8" customFormat="false" ht="15" hidden="false" customHeight="false" outlineLevel="0" collapsed="false">
      <c r="A8" s="3" t="s">
        <v>32</v>
      </c>
      <c r="K8" s="15" t="n">
        <f aca="false">SUM(K5:K7)</f>
        <v>1289148</v>
      </c>
      <c r="L8" s="15" t="n">
        <f aca="false">SUM(L5:L7)</f>
        <v>599508</v>
      </c>
    </row>
    <row r="10" customFormat="false" ht="15" hidden="false" customHeight="false" outlineLevel="0" collapsed="false">
      <c r="A10" s="3" t="s">
        <v>33</v>
      </c>
    </row>
    <row r="11" customFormat="false" ht="15" hidden="false" customHeight="false" outlineLevel="0" collapsed="false">
      <c r="A11" s="0" t="s">
        <v>34</v>
      </c>
      <c r="B11" s="16" t="n">
        <v>152000</v>
      </c>
      <c r="C11" s="2" t="s">
        <v>35</v>
      </c>
    </row>
    <row r="12" customFormat="false" ht="15" hidden="false" customHeight="false" outlineLevel="0" collapsed="false">
      <c r="A12" s="0" t="s">
        <v>36</v>
      </c>
      <c r="B12" s="10" t="n">
        <v>0.06</v>
      </c>
      <c r="C12" s="2"/>
    </row>
    <row r="13" customFormat="false" ht="15" hidden="false" customHeight="false" outlineLevel="0" collapsed="false">
      <c r="A13" s="0" t="s">
        <v>37</v>
      </c>
      <c r="B13" s="9" t="n">
        <v>0</v>
      </c>
      <c r="C13" s="2"/>
    </row>
    <row r="14" customFormat="false" ht="15" hidden="false" customHeight="false" outlineLevel="0" collapsed="false">
      <c r="A14" s="0" t="s">
        <v>38</v>
      </c>
      <c r="B14" s="16" t="n">
        <v>4000</v>
      </c>
      <c r="C14" s="2" t="s">
        <v>39</v>
      </c>
    </row>
    <row r="15" customFormat="false" ht="15" hidden="false" customHeight="false" outlineLevel="0" collapsed="false">
      <c r="A15" s="0" t="s">
        <v>40</v>
      </c>
      <c r="B15" s="16" t="n">
        <v>118000</v>
      </c>
      <c r="C15" s="2"/>
    </row>
    <row r="16" customFormat="false" ht="15" hidden="false" customHeight="false" outlineLevel="0" collapsed="false">
      <c r="A16" s="0" t="s">
        <v>41</v>
      </c>
      <c r="B16" s="16" t="n">
        <v>45500</v>
      </c>
      <c r="C16" s="2" t="s">
        <v>42</v>
      </c>
    </row>
    <row r="17" customFormat="false" ht="15" hidden="false" customHeight="false" outlineLevel="0" collapsed="false">
      <c r="A17" s="0" t="s">
        <v>43</v>
      </c>
      <c r="B17" s="10" t="n">
        <v>0.04</v>
      </c>
      <c r="C17" s="2"/>
    </row>
    <row r="18" customFormat="false" ht="15" hidden="false" customHeight="false" outlineLevel="0" collapsed="false">
      <c r="A18" s="0" t="s">
        <v>44</v>
      </c>
      <c r="B18" s="16" t="n">
        <v>174000</v>
      </c>
      <c r="C18" s="2"/>
    </row>
    <row r="19" customFormat="false" ht="15" hidden="false" customHeight="false" outlineLevel="0" collapsed="false">
      <c r="A19" s="0" t="s">
        <v>45</v>
      </c>
      <c r="B19" s="10" t="n">
        <v>0.04</v>
      </c>
      <c r="C19" s="2"/>
    </row>
    <row r="20" customFormat="false" ht="15" hidden="false" customHeight="false" outlineLevel="0" collapsed="false">
      <c r="A20" s="0" t="s">
        <v>46</v>
      </c>
      <c r="B20" s="10" t="n">
        <v>0.04</v>
      </c>
      <c r="C20" s="2"/>
    </row>
    <row r="21" customFormat="false" ht="15" hidden="false" customHeight="false" outlineLevel="0" collapsed="false">
      <c r="A21" s="0" t="s">
        <v>47</v>
      </c>
      <c r="B21" s="10" t="n">
        <v>0.02</v>
      </c>
      <c r="C21" s="2"/>
    </row>
    <row r="22" customFormat="false" ht="15" hidden="false" customHeight="false" outlineLevel="0" collapsed="false">
      <c r="A22" s="0" t="s">
        <v>48</v>
      </c>
      <c r="B22" s="16" t="n">
        <v>20000</v>
      </c>
      <c r="C22" s="2"/>
    </row>
    <row r="23" customFormat="false" ht="15" hidden="false" customHeight="false" outlineLevel="0" collapsed="false">
      <c r="A23" s="0" t="s">
        <v>49</v>
      </c>
      <c r="B23" s="10" t="n">
        <v>0.25</v>
      </c>
      <c r="C23" s="2" t="s">
        <v>50</v>
      </c>
    </row>
    <row r="24" customFormat="false" ht="15" hidden="false" customHeight="false" outlineLevel="0" collapsed="false">
      <c r="A24" s="0" t="s">
        <v>51</v>
      </c>
      <c r="B24" s="16" t="n">
        <v>60000</v>
      </c>
      <c r="C24" s="2"/>
    </row>
    <row r="25" customFormat="false" ht="15" hidden="false" customHeight="false" outlineLevel="0" collapsed="false">
      <c r="A25" s="0" t="s">
        <v>52</v>
      </c>
      <c r="B25" s="16" t="n">
        <v>20000</v>
      </c>
      <c r="C25" s="2"/>
    </row>
    <row r="26" customFormat="false" ht="15" hidden="false" customHeight="false" outlineLevel="0" collapsed="false">
      <c r="A26" s="0" t="s">
        <v>53</v>
      </c>
      <c r="B26" s="9" t="n">
        <v>65</v>
      </c>
      <c r="C26" s="2" t="s">
        <v>54</v>
      </c>
    </row>
    <row r="27" customFormat="false" ht="15" hidden="false" customHeight="false" outlineLevel="0" collapsed="false">
      <c r="A27" s="0" t="s">
        <v>55</v>
      </c>
      <c r="B27" s="9" t="n">
        <v>95</v>
      </c>
      <c r="C27" s="2" t="s">
        <v>54</v>
      </c>
    </row>
    <row r="28" customFormat="false" ht="15" hidden="false" customHeight="false" outlineLevel="0" collapsed="false">
      <c r="A28" s="0" t="s">
        <v>56</v>
      </c>
      <c r="B28" s="9" t="n">
        <v>63</v>
      </c>
      <c r="C28" s="2"/>
    </row>
    <row r="29" customFormat="false" ht="15" hidden="false" customHeight="false" outlineLevel="0" collapsed="false">
      <c r="A29" s="0" t="s">
        <v>57</v>
      </c>
      <c r="B29" s="16" t="n">
        <v>230000</v>
      </c>
      <c r="C29" s="2" t="s">
        <v>58</v>
      </c>
    </row>
    <row r="30" customFormat="false" ht="15" hidden="false" customHeight="false" outlineLevel="0" collapsed="false">
      <c r="A30" s="0" t="s">
        <v>59</v>
      </c>
      <c r="B30" s="16" t="n">
        <v>250000</v>
      </c>
      <c r="C30" s="2"/>
    </row>
    <row r="31" customFormat="false" ht="15" hidden="false" customHeight="false" outlineLevel="0" collapsed="false">
      <c r="A31" s="0" t="s">
        <v>60</v>
      </c>
      <c r="B31" s="16" t="n">
        <v>95000</v>
      </c>
      <c r="C31" s="2"/>
    </row>
    <row r="32" customFormat="false" ht="15" hidden="false" customHeight="false" outlineLevel="0" collapsed="false">
      <c r="A32" s="0" t="s">
        <v>61</v>
      </c>
      <c r="B32" s="16" t="n">
        <v>42000</v>
      </c>
      <c r="C32" s="2"/>
    </row>
    <row r="34" customFormat="false" ht="15" hidden="false" customHeight="false" outlineLevel="0" collapsed="false">
      <c r="A34" s="3" t="s">
        <v>62</v>
      </c>
    </row>
    <row r="35" customFormat="false" ht="15" hidden="false" customHeight="false" outlineLevel="0" collapsed="false">
      <c r="B35" s="3" t="s">
        <v>63</v>
      </c>
      <c r="C35" s="3" t="s">
        <v>64</v>
      </c>
      <c r="D35" s="3" t="s">
        <v>65</v>
      </c>
      <c r="E35" s="3" t="s">
        <v>66</v>
      </c>
      <c r="F35" s="3" t="s">
        <v>67</v>
      </c>
      <c r="G35" s="3" t="s">
        <v>68</v>
      </c>
      <c r="H35" s="3" t="s">
        <v>69</v>
      </c>
      <c r="I35" s="3" t="s">
        <v>70</v>
      </c>
      <c r="J35" s="3" t="s">
        <v>71</v>
      </c>
      <c r="K35" s="3" t="s">
        <v>72</v>
      </c>
      <c r="L35" s="3" t="s">
        <v>73</v>
      </c>
      <c r="M35" s="3" t="s">
        <v>74</v>
      </c>
      <c r="N35" s="3" t="s">
        <v>32</v>
      </c>
    </row>
    <row r="36" customFormat="false" ht="15" hidden="false" customHeight="false" outlineLevel="0" collapsed="false">
      <c r="A36" s="0" t="s">
        <v>75</v>
      </c>
      <c r="B36" s="10" t="n">
        <v>0.065</v>
      </c>
      <c r="C36" s="10" t="n">
        <v>0.07</v>
      </c>
      <c r="D36" s="10" t="n">
        <v>0.085</v>
      </c>
      <c r="E36" s="10" t="n">
        <v>0.08</v>
      </c>
      <c r="F36" s="10" t="n">
        <v>0.0817</v>
      </c>
      <c r="G36" s="10" t="n">
        <v>0.0867</v>
      </c>
      <c r="H36" s="10" t="n">
        <v>0.0733</v>
      </c>
      <c r="I36" s="10" t="n">
        <v>0.0767</v>
      </c>
      <c r="J36" s="10" t="n">
        <v>0.0933</v>
      </c>
      <c r="K36" s="10" t="n">
        <v>0.09</v>
      </c>
      <c r="L36" s="10" t="n">
        <v>0.1033</v>
      </c>
      <c r="M36" s="10" t="n">
        <v>0.095</v>
      </c>
      <c r="N36" s="17" t="n">
        <f aca="false">SUM(B36:M36)</f>
        <v>1</v>
      </c>
    </row>
    <row r="37" customFormat="false" ht="15" hidden="false" customHeight="false" outlineLevel="0" collapsed="false">
      <c r="N37" s="0" t="str">
        <f aca="false">IF(ABS(N36-1)&lt;0.0005,"OK","Must total 100%")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7" t="s">
        <v>78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8" t="s">
        <v>73</v>
      </c>
      <c r="M4" s="8" t="s">
        <v>74</v>
      </c>
      <c r="N4" s="8" t="s">
        <v>32</v>
      </c>
      <c r="O4" s="8" t="s">
        <v>79</v>
      </c>
    </row>
    <row r="5" customFormat="false" ht="15" hidden="false" customHeight="false" outlineLevel="0" collapsed="false">
      <c r="A5" s="18" t="s">
        <v>80</v>
      </c>
      <c r="B5" s="14" t="n">
        <f aca="false">Assumptions!$K$5*Assumptions!B$36</f>
        <v>35429.94</v>
      </c>
      <c r="C5" s="14" t="n">
        <f aca="false">Assumptions!$K$5*Assumptions!C$36</f>
        <v>38155.32</v>
      </c>
      <c r="D5" s="14" t="n">
        <f aca="false">Assumptions!$K$5*Assumptions!D$36</f>
        <v>46331.46</v>
      </c>
      <c r="E5" s="14" t="n">
        <f aca="false">Assumptions!$K$5*Assumptions!E$36</f>
        <v>43606.08</v>
      </c>
      <c r="F5" s="14" t="n">
        <f aca="false">Assumptions!$K$5*Assumptions!F$36</f>
        <v>44532.7092</v>
      </c>
      <c r="G5" s="14" t="n">
        <f aca="false">Assumptions!$K$5*Assumptions!G$36</f>
        <v>47258.0892</v>
      </c>
      <c r="H5" s="14" t="n">
        <f aca="false">Assumptions!$K$5*Assumptions!H$36</f>
        <v>39954.0708</v>
      </c>
      <c r="I5" s="14" t="n">
        <f aca="false">Assumptions!$K$5*Assumptions!I$36</f>
        <v>41807.3292</v>
      </c>
      <c r="J5" s="14" t="n">
        <f aca="false">Assumptions!$K$5*Assumptions!J$36</f>
        <v>50855.5908</v>
      </c>
      <c r="K5" s="14" t="n">
        <f aca="false">Assumptions!$K$5*Assumptions!K$36</f>
        <v>49056.84</v>
      </c>
      <c r="L5" s="14" t="n">
        <f aca="false">Assumptions!$K$5*Assumptions!L$36</f>
        <v>56306.3508</v>
      </c>
      <c r="M5" s="14" t="n">
        <f aca="false">Assumptions!$K$5*Assumptions!M$36</f>
        <v>51782.22</v>
      </c>
      <c r="N5" s="19" t="n">
        <f aca="false">SUM(B5:M5)</f>
        <v>545076</v>
      </c>
      <c r="O5" s="17" t="n">
        <f aca="false">IF($N$8=0,0,N5/$N$8)</f>
        <v>0.422818791946309</v>
      </c>
    </row>
    <row r="6" customFormat="false" ht="15" hidden="false" customHeight="false" outlineLevel="0" collapsed="false">
      <c r="A6" s="18" t="s">
        <v>81</v>
      </c>
      <c r="B6" s="14" t="n">
        <f aca="false">Assumptions!$K$6*Assumptions!B$36</f>
        <v>22776.39</v>
      </c>
      <c r="C6" s="14" t="n">
        <f aca="false">Assumptions!$K$6*Assumptions!C$36</f>
        <v>24528.42</v>
      </c>
      <c r="D6" s="14" t="n">
        <f aca="false">Assumptions!$K$6*Assumptions!D$36</f>
        <v>29784.51</v>
      </c>
      <c r="E6" s="14" t="n">
        <f aca="false">Assumptions!$K$6*Assumptions!E$36</f>
        <v>28032.48</v>
      </c>
      <c r="F6" s="14" t="n">
        <f aca="false">Assumptions!$K$6*Assumptions!F$36</f>
        <v>28628.1702</v>
      </c>
      <c r="G6" s="14" t="n">
        <f aca="false">Assumptions!$K$6*Assumptions!G$36</f>
        <v>30380.2002</v>
      </c>
      <c r="H6" s="14" t="n">
        <f aca="false">Assumptions!$K$6*Assumptions!H$36</f>
        <v>25684.7598</v>
      </c>
      <c r="I6" s="14" t="n">
        <f aca="false">Assumptions!$K$6*Assumptions!I$36</f>
        <v>26876.1402</v>
      </c>
      <c r="J6" s="14" t="n">
        <f aca="false">Assumptions!$K$6*Assumptions!J$36</f>
        <v>32692.8798</v>
      </c>
      <c r="K6" s="14" t="n">
        <f aca="false">Assumptions!$K$6*Assumptions!K$36</f>
        <v>31536.54</v>
      </c>
      <c r="L6" s="14" t="n">
        <f aca="false">Assumptions!$K$6*Assumptions!L$36</f>
        <v>36196.9398</v>
      </c>
      <c r="M6" s="14" t="n">
        <f aca="false">Assumptions!$K$6*Assumptions!M$36</f>
        <v>33288.57</v>
      </c>
      <c r="N6" s="19" t="n">
        <f aca="false">SUM(B6:M6)</f>
        <v>350406</v>
      </c>
      <c r="O6" s="17" t="n">
        <f aca="false">IF($N$8=0,0,N6/$N$8)</f>
        <v>0.271812080536913</v>
      </c>
    </row>
    <row r="7" customFormat="false" ht="15" hidden="false" customHeight="false" outlineLevel="0" collapsed="false">
      <c r="A7" s="18" t="s">
        <v>82</v>
      </c>
      <c r="B7" s="14" t="n">
        <f aca="false">Assumptions!$K$7*Assumptions!B$36</f>
        <v>25588.29</v>
      </c>
      <c r="C7" s="14" t="n">
        <f aca="false">Assumptions!$K$7*Assumptions!C$36</f>
        <v>27556.62</v>
      </c>
      <c r="D7" s="14" t="n">
        <f aca="false">Assumptions!$K$7*Assumptions!D$36</f>
        <v>33461.61</v>
      </c>
      <c r="E7" s="14" t="n">
        <f aca="false">Assumptions!$K$7*Assumptions!E$36</f>
        <v>31493.28</v>
      </c>
      <c r="F7" s="14" t="n">
        <f aca="false">Assumptions!$K$7*Assumptions!F$36</f>
        <v>32162.5122</v>
      </c>
      <c r="G7" s="14" t="n">
        <f aca="false">Assumptions!$K$7*Assumptions!G$36</f>
        <v>34130.8422</v>
      </c>
      <c r="H7" s="14" t="n">
        <f aca="false">Assumptions!$K$7*Assumptions!H$36</f>
        <v>28855.7178</v>
      </c>
      <c r="I7" s="14" t="n">
        <f aca="false">Assumptions!$K$7*Assumptions!I$36</f>
        <v>30194.1822</v>
      </c>
      <c r="J7" s="14" t="n">
        <f aca="false">Assumptions!$K$7*Assumptions!J$36</f>
        <v>36729.0378</v>
      </c>
      <c r="K7" s="14" t="n">
        <f aca="false">Assumptions!$K$7*Assumptions!K$36</f>
        <v>35429.94</v>
      </c>
      <c r="L7" s="14" t="n">
        <f aca="false">Assumptions!$K$7*Assumptions!L$36</f>
        <v>40665.6978</v>
      </c>
      <c r="M7" s="14" t="n">
        <f aca="false">Assumptions!$K$7*Assumptions!M$36</f>
        <v>37398.27</v>
      </c>
      <c r="N7" s="19" t="n">
        <f aca="false">SUM(B7:M7)</f>
        <v>393666</v>
      </c>
      <c r="O7" s="17" t="n">
        <f aca="false">IF($N$8=0,0,N7/$N$8)</f>
        <v>0.305369127516779</v>
      </c>
    </row>
    <row r="8" customFormat="false" ht="15" hidden="false" customHeight="false" outlineLevel="0" collapsed="false">
      <c r="A8" s="3" t="s">
        <v>83</v>
      </c>
      <c r="B8" s="15" t="n">
        <f aca="false">SUM(B5:B7)</f>
        <v>83794.62</v>
      </c>
      <c r="C8" s="15" t="n">
        <f aca="false">SUM(C5:C7)</f>
        <v>90240.36</v>
      </c>
      <c r="D8" s="15" t="n">
        <f aca="false">SUM(D5:D7)</f>
        <v>109577.58</v>
      </c>
      <c r="E8" s="15" t="n">
        <f aca="false">SUM(E5:E7)</f>
        <v>103131.84</v>
      </c>
      <c r="F8" s="15" t="n">
        <f aca="false">SUM(F5:F7)</f>
        <v>105323.3916</v>
      </c>
      <c r="G8" s="15" t="n">
        <f aca="false">SUM(G5:G7)</f>
        <v>111769.1316</v>
      </c>
      <c r="H8" s="15" t="n">
        <f aca="false">SUM(H5:H7)</f>
        <v>94494.5484</v>
      </c>
      <c r="I8" s="15" t="n">
        <f aca="false">SUM(I5:I7)</f>
        <v>98877.6516</v>
      </c>
      <c r="J8" s="15" t="n">
        <f aca="false">SUM(J5:J7)</f>
        <v>120277.5084</v>
      </c>
      <c r="K8" s="15" t="n">
        <f aca="false">SUM(K5:K7)</f>
        <v>116023.32</v>
      </c>
      <c r="L8" s="15" t="n">
        <f aca="false">SUM(L5:L7)</f>
        <v>133168.9884</v>
      </c>
      <c r="M8" s="15" t="n">
        <f aca="false">SUM(M5:M7)</f>
        <v>122469.06</v>
      </c>
      <c r="N8" s="19" t="n">
        <f aca="false">SUM(B8:M8)</f>
        <v>1289148</v>
      </c>
      <c r="O8" s="17" t="n">
        <f aca="false">IF($N$8=0,0,N8/$N$8)</f>
        <v>1</v>
      </c>
    </row>
    <row r="9" customFormat="false" ht="15" hidden="false" customHeight="false" outlineLevel="0" collapsed="false">
      <c r="A9" s="18" t="s">
        <v>84</v>
      </c>
      <c r="B9" s="14" t="n">
        <f aca="false">-Assumptions!$L$8*Assumptions!B$36</f>
        <v>-38968.02</v>
      </c>
      <c r="C9" s="14" t="n">
        <f aca="false">-Assumptions!$L$8*Assumptions!C$36</f>
        <v>-41965.56</v>
      </c>
      <c r="D9" s="14" t="n">
        <f aca="false">-Assumptions!$L$8*Assumptions!D$36</f>
        <v>-50958.18</v>
      </c>
      <c r="E9" s="14" t="n">
        <f aca="false">-Assumptions!$L$8*Assumptions!E$36</f>
        <v>-47960.64</v>
      </c>
      <c r="F9" s="14" t="n">
        <f aca="false">-Assumptions!$L$8*Assumptions!F$36</f>
        <v>-48979.8036</v>
      </c>
      <c r="G9" s="14" t="n">
        <f aca="false">-Assumptions!$L$8*Assumptions!G$36</f>
        <v>-51977.3436</v>
      </c>
      <c r="H9" s="14" t="n">
        <f aca="false">-Assumptions!$L$8*Assumptions!H$36</f>
        <v>-43943.9364</v>
      </c>
      <c r="I9" s="14" t="n">
        <f aca="false">-Assumptions!$L$8*Assumptions!I$36</f>
        <v>-45982.2636</v>
      </c>
      <c r="J9" s="14" t="n">
        <f aca="false">-Assumptions!$L$8*Assumptions!J$36</f>
        <v>-55934.0964</v>
      </c>
      <c r="K9" s="14" t="n">
        <f aca="false">-Assumptions!$L$8*Assumptions!K$36</f>
        <v>-53955.72</v>
      </c>
      <c r="L9" s="14" t="n">
        <f aca="false">-Assumptions!$L$8*Assumptions!L$36</f>
        <v>-61929.1764</v>
      </c>
      <c r="M9" s="14" t="n">
        <f aca="false">-Assumptions!$L$8*Assumptions!M$36</f>
        <v>-56953.26</v>
      </c>
      <c r="N9" s="19" t="n">
        <f aca="false">SUM(B9:M9)</f>
        <v>-599508</v>
      </c>
      <c r="O9" s="17" t="n">
        <f aca="false">IF($N$8=0,0,N9/$N$8)</f>
        <v>-0.465042027757868</v>
      </c>
    </row>
    <row r="10" customFormat="false" ht="15" hidden="false" customHeight="false" outlineLevel="0" collapsed="false">
      <c r="A10" s="18" t="s">
        <v>85</v>
      </c>
      <c r="B10" s="14" t="n">
        <f aca="false">-B8*Assumptions!$B$20</f>
        <v>-3351.7848</v>
      </c>
      <c r="C10" s="14" t="n">
        <f aca="false">-C8*Assumptions!$B$20</f>
        <v>-3609.6144</v>
      </c>
      <c r="D10" s="14" t="n">
        <f aca="false">-D8*Assumptions!$B$20</f>
        <v>-4383.1032</v>
      </c>
      <c r="E10" s="14" t="n">
        <f aca="false">-E8*Assumptions!$B$20</f>
        <v>-4125.2736</v>
      </c>
      <c r="F10" s="14" t="n">
        <f aca="false">-F8*Assumptions!$B$20</f>
        <v>-4212.935664</v>
      </c>
      <c r="G10" s="14" t="n">
        <f aca="false">-G8*Assumptions!$B$20</f>
        <v>-4470.765264</v>
      </c>
      <c r="H10" s="14" t="n">
        <f aca="false">-H8*Assumptions!$B$20</f>
        <v>-3779.781936</v>
      </c>
      <c r="I10" s="14" t="n">
        <f aca="false">-I8*Assumptions!$B$20</f>
        <v>-3955.106064</v>
      </c>
      <c r="J10" s="14" t="n">
        <f aca="false">-J8*Assumptions!$B$20</f>
        <v>-4811.100336</v>
      </c>
      <c r="K10" s="14" t="n">
        <f aca="false">-K8*Assumptions!$B$20</f>
        <v>-4640.9328</v>
      </c>
      <c r="L10" s="14" t="n">
        <f aca="false">-L8*Assumptions!$B$20</f>
        <v>-5326.759536</v>
      </c>
      <c r="M10" s="14" t="n">
        <f aca="false">-M8*Assumptions!$B$20</f>
        <v>-4898.7624</v>
      </c>
      <c r="N10" s="19" t="n">
        <f aca="false">SUM(B10:M10)</f>
        <v>-51565.92</v>
      </c>
      <c r="O10" s="17" t="n">
        <f aca="false">IF($N$8=0,0,N10/$N$8)</f>
        <v>-0.04</v>
      </c>
    </row>
    <row r="11" customFormat="false" ht="15" hidden="false" customHeight="false" outlineLevel="0" collapsed="false">
      <c r="A11" s="18" t="s">
        <v>86</v>
      </c>
      <c r="B11" s="14" t="n">
        <f aca="false">-B8*Assumptions!$B$21</f>
        <v>-1675.8924</v>
      </c>
      <c r="C11" s="14" t="n">
        <f aca="false">-C8*Assumptions!$B$21</f>
        <v>-1804.8072</v>
      </c>
      <c r="D11" s="14" t="n">
        <f aca="false">-D8*Assumptions!$B$21</f>
        <v>-2191.5516</v>
      </c>
      <c r="E11" s="14" t="n">
        <f aca="false">-E8*Assumptions!$B$21</f>
        <v>-2062.6368</v>
      </c>
      <c r="F11" s="14" t="n">
        <f aca="false">-F8*Assumptions!$B$21</f>
        <v>-2106.467832</v>
      </c>
      <c r="G11" s="14" t="n">
        <f aca="false">-G8*Assumptions!$B$21</f>
        <v>-2235.382632</v>
      </c>
      <c r="H11" s="14" t="n">
        <f aca="false">-H8*Assumptions!$B$21</f>
        <v>-1889.890968</v>
      </c>
      <c r="I11" s="14" t="n">
        <f aca="false">-I8*Assumptions!$B$21</f>
        <v>-1977.553032</v>
      </c>
      <c r="J11" s="14" t="n">
        <f aca="false">-J8*Assumptions!$B$21</f>
        <v>-2405.550168</v>
      </c>
      <c r="K11" s="14" t="n">
        <f aca="false">-K8*Assumptions!$B$21</f>
        <v>-2320.4664</v>
      </c>
      <c r="L11" s="14" t="n">
        <f aca="false">-L8*Assumptions!$B$21</f>
        <v>-2663.379768</v>
      </c>
      <c r="M11" s="14" t="n">
        <f aca="false">-M8*Assumptions!$B$21</f>
        <v>-2449.3812</v>
      </c>
      <c r="N11" s="19" t="n">
        <f aca="false">SUM(B11:M11)</f>
        <v>-25782.96</v>
      </c>
      <c r="O11" s="17" t="n">
        <f aca="false">IF($N$8=0,0,N11/$N$8)</f>
        <v>-0.02</v>
      </c>
    </row>
    <row r="12" customFormat="false" ht="15" hidden="false" customHeight="false" outlineLevel="0" collapsed="false">
      <c r="A12" s="3" t="s">
        <v>87</v>
      </c>
      <c r="B12" s="15" t="n">
        <f aca="false">SUM(B8:B11)</f>
        <v>39798.9228</v>
      </c>
      <c r="C12" s="15" t="n">
        <f aca="false">SUM(C8:C11)</f>
        <v>42860.3784</v>
      </c>
      <c r="D12" s="15" t="n">
        <f aca="false">SUM(D8:D11)</f>
        <v>52044.7452</v>
      </c>
      <c r="E12" s="15" t="n">
        <f aca="false">SUM(E8:E11)</f>
        <v>48983.2896</v>
      </c>
      <c r="F12" s="15" t="n">
        <f aca="false">SUM(F8:F11)</f>
        <v>50024.184504</v>
      </c>
      <c r="G12" s="15" t="n">
        <f aca="false">SUM(G8:G11)</f>
        <v>53085.640104</v>
      </c>
      <c r="H12" s="15" t="n">
        <f aca="false">SUM(H8:H11)</f>
        <v>44880.939096</v>
      </c>
      <c r="I12" s="15" t="n">
        <f aca="false">SUM(I8:I11)</f>
        <v>46962.728904</v>
      </c>
      <c r="J12" s="15" t="n">
        <f aca="false">SUM(J8:J11)</f>
        <v>57126.761496</v>
      </c>
      <c r="K12" s="15" t="n">
        <f aca="false">SUM(K8:K11)</f>
        <v>55106.2008</v>
      </c>
      <c r="L12" s="15" t="n">
        <f aca="false">SUM(L8:L11)</f>
        <v>63249.672696</v>
      </c>
      <c r="M12" s="15" t="n">
        <f aca="false">SUM(M8:M11)</f>
        <v>58167.6564</v>
      </c>
      <c r="N12" s="19" t="n">
        <f aca="false">SUM(B12:M12)</f>
        <v>612291.12</v>
      </c>
      <c r="O12" s="17" t="n">
        <f aca="false">IF($N$8=0,0,N12/$N$8)</f>
        <v>0.474957972242132</v>
      </c>
    </row>
    <row r="13" customFormat="false" ht="15" hidden="false" customHeight="false" outlineLevel="0" collapsed="false">
      <c r="A13" s="18" t="s">
        <v>88</v>
      </c>
      <c r="B13" s="14" t="n">
        <f aca="false">-(Assumptions!$B$11*(1+Assumptions!$B$12)+Assumptions!$B$13*Assumptions!$B$14*(1+Assumptions!$B$12))/12</f>
        <v>-13426.6666666667</v>
      </c>
      <c r="C13" s="14" t="n">
        <f aca="false">-(Assumptions!$B$11*(1+Assumptions!$B$12)+Assumptions!$B$13*Assumptions!$B$14*(1+Assumptions!$B$12))/12</f>
        <v>-13426.6666666667</v>
      </c>
      <c r="D13" s="14" t="n">
        <f aca="false">-(Assumptions!$B$11*(1+Assumptions!$B$12)+Assumptions!$B$13*Assumptions!$B$14*(1+Assumptions!$B$12))/12</f>
        <v>-13426.6666666667</v>
      </c>
      <c r="E13" s="14" t="n">
        <f aca="false">-(Assumptions!$B$11*(1+Assumptions!$B$12)+Assumptions!$B$13*Assumptions!$B$14*(1+Assumptions!$B$12))/12</f>
        <v>-13426.6666666667</v>
      </c>
      <c r="F13" s="14" t="n">
        <f aca="false">-(Assumptions!$B$11*(1+Assumptions!$B$12)+Assumptions!$B$13*Assumptions!$B$14*(1+Assumptions!$B$12))/12</f>
        <v>-13426.6666666667</v>
      </c>
      <c r="G13" s="14" t="n">
        <f aca="false">-(Assumptions!$B$11*(1+Assumptions!$B$12)+Assumptions!$B$13*Assumptions!$B$14*(1+Assumptions!$B$12))/12</f>
        <v>-13426.6666666667</v>
      </c>
      <c r="H13" s="14" t="n">
        <f aca="false">-(Assumptions!$B$11*(1+Assumptions!$B$12)+Assumptions!$B$13*Assumptions!$B$14*(1+Assumptions!$B$12))/12</f>
        <v>-13426.6666666667</v>
      </c>
      <c r="I13" s="14" t="n">
        <f aca="false">-(Assumptions!$B$11*(1+Assumptions!$B$12)+Assumptions!$B$13*Assumptions!$B$14*(1+Assumptions!$B$12))/12</f>
        <v>-13426.6666666667</v>
      </c>
      <c r="J13" s="14" t="n">
        <f aca="false">-(Assumptions!$B$11*(1+Assumptions!$B$12)+Assumptions!$B$13*Assumptions!$B$14*(1+Assumptions!$B$12))/12</f>
        <v>-13426.6666666667</v>
      </c>
      <c r="K13" s="14" t="n">
        <f aca="false">-(Assumptions!$B$11*(1+Assumptions!$B$12)+Assumptions!$B$13*Assumptions!$B$14*(1+Assumptions!$B$12))/12</f>
        <v>-13426.6666666667</v>
      </c>
      <c r="L13" s="14" t="n">
        <f aca="false">-(Assumptions!$B$11*(1+Assumptions!$B$12)+Assumptions!$B$13*Assumptions!$B$14*(1+Assumptions!$B$12))/12</f>
        <v>-13426.6666666667</v>
      </c>
      <c r="M13" s="14" t="n">
        <f aca="false">-(Assumptions!$B$11*(1+Assumptions!$B$12)+Assumptions!$B$13*Assumptions!$B$14*(1+Assumptions!$B$12))/12</f>
        <v>-13426.6666666667</v>
      </c>
      <c r="N13" s="19" t="n">
        <f aca="false">SUM(B13:M13)</f>
        <v>-161120</v>
      </c>
      <c r="O13" s="17" t="n">
        <f aca="false">IF($N$8=0,0,N13/$N$8)</f>
        <v>-0.124981770906056</v>
      </c>
    </row>
    <row r="14" customFormat="false" ht="15" hidden="false" customHeight="false" outlineLevel="0" collapsed="false">
      <c r="A14" s="18" t="s">
        <v>89</v>
      </c>
      <c r="B14" s="14" t="n">
        <f aca="false">-Assumptions!$B$15*(1+Assumptions!$B$17)/12</f>
        <v>-10226.6666666667</v>
      </c>
      <c r="C14" s="14" t="n">
        <f aca="false">-Assumptions!$B$15*(1+Assumptions!$B$17)/12</f>
        <v>-10226.6666666667</v>
      </c>
      <c r="D14" s="14" t="n">
        <f aca="false">-Assumptions!$B$15*(1+Assumptions!$B$17)/12</f>
        <v>-10226.6666666667</v>
      </c>
      <c r="E14" s="14" t="n">
        <f aca="false">-Assumptions!$B$15*(1+Assumptions!$B$17)/12</f>
        <v>-10226.6666666667</v>
      </c>
      <c r="F14" s="14" t="n">
        <f aca="false">-Assumptions!$B$15*(1+Assumptions!$B$17)/12</f>
        <v>-10226.6666666667</v>
      </c>
      <c r="G14" s="14" t="n">
        <f aca="false">-Assumptions!$B$15*(1+Assumptions!$B$17)/12</f>
        <v>-10226.6666666667</v>
      </c>
      <c r="H14" s="14" t="n">
        <f aca="false">-Assumptions!$B$15*(1+Assumptions!$B$17)/12</f>
        <v>-10226.6666666667</v>
      </c>
      <c r="I14" s="14" t="n">
        <f aca="false">-Assumptions!$B$15*(1+Assumptions!$B$17)/12</f>
        <v>-10226.6666666667</v>
      </c>
      <c r="J14" s="14" t="n">
        <f aca="false">-Assumptions!$B$15*(1+Assumptions!$B$17)/12</f>
        <v>-10226.6666666667</v>
      </c>
      <c r="K14" s="14" t="n">
        <f aca="false">-Assumptions!$B$15*(1+Assumptions!$B$17)/12</f>
        <v>-10226.6666666667</v>
      </c>
      <c r="L14" s="14" t="n">
        <f aca="false">-Assumptions!$B$15*(1+Assumptions!$B$17)/12</f>
        <v>-10226.6666666667</v>
      </c>
      <c r="M14" s="14" t="n">
        <f aca="false">-Assumptions!$B$15*(1+Assumptions!$B$17)/12</f>
        <v>-10226.6666666667</v>
      </c>
      <c r="N14" s="19" t="n">
        <f aca="false">SUM(B14:M14)</f>
        <v>-122720</v>
      </c>
      <c r="O14" s="17" t="n">
        <f aca="false">IF($N$8=0,0,N14/$N$8)</f>
        <v>-0.0951946556950792</v>
      </c>
    </row>
    <row r="15" customFormat="false" ht="15" hidden="false" customHeight="false" outlineLevel="0" collapsed="false">
      <c r="A15" s="18" t="s">
        <v>90</v>
      </c>
      <c r="B15" s="14" t="n">
        <f aca="false">-Assumptions!$B$16/12</f>
        <v>-3791.66666666667</v>
      </c>
      <c r="C15" s="14" t="n">
        <f aca="false">-Assumptions!$B$16/12</f>
        <v>-3791.66666666667</v>
      </c>
      <c r="D15" s="14" t="n">
        <f aca="false">-Assumptions!$B$16/12</f>
        <v>-3791.66666666667</v>
      </c>
      <c r="E15" s="14" t="n">
        <f aca="false">-Assumptions!$B$16/12</f>
        <v>-3791.66666666667</v>
      </c>
      <c r="F15" s="14" t="n">
        <f aca="false">-Assumptions!$B$16/12</f>
        <v>-3791.66666666667</v>
      </c>
      <c r="G15" s="14" t="n">
        <f aca="false">-Assumptions!$B$16/12</f>
        <v>-3791.66666666667</v>
      </c>
      <c r="H15" s="14" t="n">
        <f aca="false">-Assumptions!$B$16/12</f>
        <v>-3791.66666666667</v>
      </c>
      <c r="I15" s="14" t="n">
        <f aca="false">-Assumptions!$B$16/12</f>
        <v>-3791.66666666667</v>
      </c>
      <c r="J15" s="14" t="n">
        <f aca="false">-Assumptions!$B$16/12</f>
        <v>-3791.66666666667</v>
      </c>
      <c r="K15" s="14" t="n">
        <f aca="false">-Assumptions!$B$16/12</f>
        <v>-3791.66666666667</v>
      </c>
      <c r="L15" s="14" t="n">
        <f aca="false">-Assumptions!$B$16/12</f>
        <v>-3791.66666666667</v>
      </c>
      <c r="M15" s="14" t="n">
        <f aca="false">-Assumptions!$B$16/12</f>
        <v>-3791.66666666667</v>
      </c>
      <c r="N15" s="19" t="n">
        <f aca="false">SUM(B15:M15)</f>
        <v>-45500</v>
      </c>
      <c r="O15" s="17" t="n">
        <f aca="false">IF($N$8=0,0,N15/$N$8)</f>
        <v>-0.0352946287005061</v>
      </c>
    </row>
    <row r="16" customFormat="false" ht="15" hidden="false" customHeight="false" outlineLevel="0" collapsed="false">
      <c r="A16" s="18" t="s">
        <v>91</v>
      </c>
      <c r="B16" s="14" t="n">
        <f aca="false">-Assumptions!$B$18*(1+Assumptions!$B$19)/12</f>
        <v>-15080</v>
      </c>
      <c r="C16" s="14" t="n">
        <f aca="false">-Assumptions!$B$18*(1+Assumptions!$B$19)/12</f>
        <v>-15080</v>
      </c>
      <c r="D16" s="14" t="n">
        <f aca="false">-Assumptions!$B$18*(1+Assumptions!$B$19)/12</f>
        <v>-15080</v>
      </c>
      <c r="E16" s="14" t="n">
        <f aca="false">-Assumptions!$B$18*(1+Assumptions!$B$19)/12</f>
        <v>-15080</v>
      </c>
      <c r="F16" s="14" t="n">
        <f aca="false">-Assumptions!$B$18*(1+Assumptions!$B$19)/12</f>
        <v>-15080</v>
      </c>
      <c r="G16" s="14" t="n">
        <f aca="false">-Assumptions!$B$18*(1+Assumptions!$B$19)/12</f>
        <v>-15080</v>
      </c>
      <c r="H16" s="14" t="n">
        <f aca="false">-Assumptions!$B$18*(1+Assumptions!$B$19)/12</f>
        <v>-15080</v>
      </c>
      <c r="I16" s="14" t="n">
        <f aca="false">-Assumptions!$B$18*(1+Assumptions!$B$19)/12</f>
        <v>-15080</v>
      </c>
      <c r="J16" s="14" t="n">
        <f aca="false">-Assumptions!$B$18*(1+Assumptions!$B$19)/12</f>
        <v>-15080</v>
      </c>
      <c r="K16" s="14" t="n">
        <f aca="false">-Assumptions!$B$18*(1+Assumptions!$B$19)/12</f>
        <v>-15080</v>
      </c>
      <c r="L16" s="14" t="n">
        <f aca="false">-Assumptions!$B$18*(1+Assumptions!$B$19)/12</f>
        <v>-15080</v>
      </c>
      <c r="M16" s="14" t="n">
        <f aca="false">-Assumptions!$B$18*(1+Assumptions!$B$19)/12</f>
        <v>-15080</v>
      </c>
      <c r="N16" s="19" t="n">
        <f aca="false">SUM(B16:M16)</f>
        <v>-180960</v>
      </c>
      <c r="O16" s="17" t="n">
        <f aca="false">IF($N$8=0,0,N16/$N$8)</f>
        <v>-0.140371780431727</v>
      </c>
    </row>
    <row r="17" customFormat="false" ht="15" hidden="false" customHeight="false" outlineLevel="0" collapsed="false">
      <c r="A17" s="3" t="s">
        <v>92</v>
      </c>
      <c r="B17" s="15" t="n">
        <f aca="false">B12+SUM(B13:B16)</f>
        <v>-2726.07720000001</v>
      </c>
      <c r="C17" s="15" t="n">
        <f aca="false">C12+SUM(C13:C16)</f>
        <v>335.378400000009</v>
      </c>
      <c r="D17" s="15" t="n">
        <f aca="false">D12+SUM(D13:D16)</f>
        <v>9519.74520000001</v>
      </c>
      <c r="E17" s="15" t="n">
        <f aca="false">E12+SUM(E13:E16)</f>
        <v>6458.2896</v>
      </c>
      <c r="F17" s="15" t="n">
        <f aca="false">F12+SUM(F13:F16)</f>
        <v>7499.18450399999</v>
      </c>
      <c r="G17" s="15" t="n">
        <f aca="false">G12+SUM(G13:G16)</f>
        <v>10560.640104</v>
      </c>
      <c r="H17" s="15" t="n">
        <f aca="false">H12+SUM(H13:H16)</f>
        <v>2355.93909599999</v>
      </c>
      <c r="I17" s="15" t="n">
        <f aca="false">I12+SUM(I13:I16)</f>
        <v>4437.728904</v>
      </c>
      <c r="J17" s="15" t="n">
        <f aca="false">J12+SUM(J13:J16)</f>
        <v>14601.761496</v>
      </c>
      <c r="K17" s="15" t="n">
        <f aca="false">K12+SUM(K13:K16)</f>
        <v>12581.2008</v>
      </c>
      <c r="L17" s="15" t="n">
        <f aca="false">L12+SUM(L13:L16)</f>
        <v>20724.672696</v>
      </c>
      <c r="M17" s="15" t="n">
        <f aca="false">M12+SUM(M13:M16)</f>
        <v>15642.6564</v>
      </c>
      <c r="N17" s="19" t="n">
        <f aca="false">SUM(B17:M17)</f>
        <v>101991.12</v>
      </c>
      <c r="O17" s="17" t="n">
        <f aca="false">IF($N$8=0,0,N17/$N$8)</f>
        <v>0.0791151365087639</v>
      </c>
    </row>
    <row r="18" customFormat="false" ht="15" hidden="false" customHeight="false" outlineLevel="0" collapsed="false">
      <c r="A18" s="18" t="s">
        <v>93</v>
      </c>
      <c r="B18" s="14" t="n">
        <f aca="false">-Assumptions!$B$22/12</f>
        <v>-1666.66666666667</v>
      </c>
      <c r="C18" s="14" t="n">
        <f aca="false">-Assumptions!$B$22/12</f>
        <v>-1666.66666666667</v>
      </c>
      <c r="D18" s="14" t="n">
        <f aca="false">-Assumptions!$B$22/12</f>
        <v>-1666.66666666667</v>
      </c>
      <c r="E18" s="14" t="n">
        <f aca="false">-Assumptions!$B$22/12</f>
        <v>-1666.66666666667</v>
      </c>
      <c r="F18" s="14" t="n">
        <f aca="false">-Assumptions!$B$22/12</f>
        <v>-1666.66666666667</v>
      </c>
      <c r="G18" s="14" t="n">
        <f aca="false">-Assumptions!$B$22/12</f>
        <v>-1666.66666666667</v>
      </c>
      <c r="H18" s="14" t="n">
        <f aca="false">-Assumptions!$B$22/12</f>
        <v>-1666.66666666667</v>
      </c>
      <c r="I18" s="14" t="n">
        <f aca="false">-Assumptions!$B$22/12</f>
        <v>-1666.66666666667</v>
      </c>
      <c r="J18" s="14" t="n">
        <f aca="false">-Assumptions!$B$22/12</f>
        <v>-1666.66666666667</v>
      </c>
      <c r="K18" s="14" t="n">
        <f aca="false">-Assumptions!$B$22/12</f>
        <v>-1666.66666666667</v>
      </c>
      <c r="L18" s="14" t="n">
        <f aca="false">-Assumptions!$B$22/12</f>
        <v>-1666.66666666667</v>
      </c>
      <c r="M18" s="14" t="n">
        <f aca="false">-Assumptions!$B$22/12</f>
        <v>-1666.66666666667</v>
      </c>
      <c r="N18" s="19" t="n">
        <f aca="false">SUM(B18:M18)</f>
        <v>-20000</v>
      </c>
      <c r="O18" s="17" t="n">
        <f aca="false">IF($N$8=0,0,N18/$N$8)</f>
        <v>-0.015514122505717</v>
      </c>
    </row>
    <row r="19" customFormat="false" ht="15" hidden="false" customHeight="false" outlineLevel="0" collapsed="false">
      <c r="A19" s="3" t="s">
        <v>94</v>
      </c>
      <c r="B19" s="15" t="n">
        <f aca="false">B17+B18</f>
        <v>-4392.74386666667</v>
      </c>
      <c r="C19" s="15" t="n">
        <f aca="false">C17+C18</f>
        <v>-1331.28826666666</v>
      </c>
      <c r="D19" s="15" t="n">
        <f aca="false">D17+D18</f>
        <v>7853.07853333334</v>
      </c>
      <c r="E19" s="15" t="n">
        <f aca="false">E17+E18</f>
        <v>4791.62293333333</v>
      </c>
      <c r="F19" s="15" t="n">
        <f aca="false">F17+F18</f>
        <v>5832.51783733332</v>
      </c>
      <c r="G19" s="15" t="n">
        <f aca="false">G17+G18</f>
        <v>8893.97343733334</v>
      </c>
      <c r="H19" s="15" t="n">
        <f aca="false">H17+H18</f>
        <v>689.272429333328</v>
      </c>
      <c r="I19" s="15" t="n">
        <f aca="false">I17+I18</f>
        <v>2771.06223733334</v>
      </c>
      <c r="J19" s="15" t="n">
        <f aca="false">J17+J18</f>
        <v>12935.0948293333</v>
      </c>
      <c r="K19" s="15" t="n">
        <f aca="false">K17+K18</f>
        <v>10914.5341333333</v>
      </c>
      <c r="L19" s="15" t="n">
        <f aca="false">L17+L18</f>
        <v>19058.0060293333</v>
      </c>
      <c r="M19" s="15" t="n">
        <f aca="false">M17+M18</f>
        <v>13975.9897333333</v>
      </c>
      <c r="N19" s="19" t="n">
        <f aca="false">SUM(B19:M19)</f>
        <v>81991.12</v>
      </c>
      <c r="O19" s="17" t="n">
        <f aca="false">IF($N$8=0,0,N19/$N$8)</f>
        <v>0.063601014003047</v>
      </c>
    </row>
    <row r="20" customFormat="false" ht="15" hidden="false" customHeight="false" outlineLevel="0" collapsed="false">
      <c r="A20" s="18" t="s">
        <v>95</v>
      </c>
      <c r="B20" s="14" t="n">
        <f aca="false">-Assumptions!$B$23*(MAX(0,SUM($B19:B19))-MAX(0,SUM($B19:B19)-B19))</f>
        <v>-0</v>
      </c>
      <c r="C20" s="14" t="n">
        <f aca="false">-Assumptions!$B$23*(MAX(0,SUM($B19:C19))-MAX(0,SUM($B19:C19)-C19))</f>
        <v>-0</v>
      </c>
      <c r="D20" s="14" t="n">
        <f aca="false">-Assumptions!$B$23*(MAX(0,SUM($B19:D19))-MAX(0,SUM($B19:D19)-D19))</f>
        <v>-532.261600000001</v>
      </c>
      <c r="E20" s="14" t="n">
        <f aca="false">-Assumptions!$B$23*(MAX(0,SUM($B19:E19))-MAX(0,SUM($B19:E19)-E19))</f>
        <v>-1197.90573333333</v>
      </c>
      <c r="F20" s="14" t="n">
        <f aca="false">-Assumptions!$B$23*(MAX(0,SUM($B19:F19))-MAX(0,SUM($B19:F19)-F19))</f>
        <v>-1458.12945933333</v>
      </c>
      <c r="G20" s="14" t="n">
        <f aca="false">-Assumptions!$B$23*(MAX(0,SUM($B19:G19))-MAX(0,SUM($B19:G19)-G19))</f>
        <v>-2223.49335933334</v>
      </c>
      <c r="H20" s="14" t="n">
        <f aca="false">-Assumptions!$B$23*(MAX(0,SUM($B19:H19))-MAX(0,SUM($B19:H19)-H19))</f>
        <v>-172.318107333332</v>
      </c>
      <c r="I20" s="14" t="n">
        <f aca="false">-Assumptions!$B$23*(MAX(0,SUM($B19:I19))-MAX(0,SUM($B19:I19)-I19))</f>
        <v>-692.765559333334</v>
      </c>
      <c r="J20" s="14" t="n">
        <f aca="false">-Assumptions!$B$23*(MAX(0,SUM($B19:J19))-MAX(0,SUM($B19:J19)-J19))</f>
        <v>-3233.77370733333</v>
      </c>
      <c r="K20" s="14" t="n">
        <f aca="false">-Assumptions!$B$23*(MAX(0,SUM($B19:K19))-MAX(0,SUM($B19:K19)-K19))</f>
        <v>-2728.63353333333</v>
      </c>
      <c r="L20" s="14" t="n">
        <f aca="false">-Assumptions!$B$23*(MAX(0,SUM($B19:L19))-MAX(0,SUM($B19:L19)-L19))</f>
        <v>-4764.50150733333</v>
      </c>
      <c r="M20" s="14" t="n">
        <f aca="false">-Assumptions!$B$23*(MAX(0,SUM($B19:M19))-MAX(0,SUM($B19:M19)-M19))</f>
        <v>-3493.99743333333</v>
      </c>
      <c r="N20" s="19" t="n">
        <f aca="false">SUM(B20:M20)</f>
        <v>-20497.78</v>
      </c>
      <c r="O20" s="17" t="n">
        <f aca="false">IF($N$8=0,0,N20/$N$8)</f>
        <v>-0.0159002535007617</v>
      </c>
    </row>
    <row r="21" customFormat="false" ht="15" hidden="false" customHeight="false" outlineLevel="0" collapsed="false">
      <c r="A21" s="3" t="s">
        <v>96</v>
      </c>
      <c r="B21" s="20" t="n">
        <f aca="false">B19+B20</f>
        <v>-4392.74386666667</v>
      </c>
      <c r="C21" s="20" t="n">
        <f aca="false">C19+C20</f>
        <v>-1331.28826666666</v>
      </c>
      <c r="D21" s="20" t="n">
        <f aca="false">D19+D20</f>
        <v>7320.81693333334</v>
      </c>
      <c r="E21" s="20" t="n">
        <f aca="false">E19+E20</f>
        <v>3593.7172</v>
      </c>
      <c r="F21" s="20" t="n">
        <f aca="false">F19+F20</f>
        <v>4374.38837799999</v>
      </c>
      <c r="G21" s="20" t="n">
        <f aca="false">G19+G20</f>
        <v>6670.480078</v>
      </c>
      <c r="H21" s="20" t="n">
        <f aca="false">H19+H20</f>
        <v>516.954321999996</v>
      </c>
      <c r="I21" s="20" t="n">
        <f aca="false">I19+I20</f>
        <v>2078.296678</v>
      </c>
      <c r="J21" s="20" t="n">
        <f aca="false">J19+J20</f>
        <v>9701.32112199999</v>
      </c>
      <c r="K21" s="20" t="n">
        <f aca="false">K19+K20</f>
        <v>8185.90059999998</v>
      </c>
      <c r="L21" s="20" t="n">
        <f aca="false">L19+L20</f>
        <v>14293.504522</v>
      </c>
      <c r="M21" s="20" t="n">
        <f aca="false">M19+M20</f>
        <v>10481.9923</v>
      </c>
      <c r="N21" s="19" t="n">
        <f aca="false">SUM(B21:M21)</f>
        <v>61493.34</v>
      </c>
      <c r="O21" s="17" t="n">
        <f aca="false">IF($N$8=0,0,N21/$N$8)</f>
        <v>0.0477007605022852</v>
      </c>
    </row>
    <row r="23" customFormat="false" ht="15" hidden="false" customHeight="false" outlineLevel="0" collapsed="false">
      <c r="A23" s="0" t="s">
        <v>97</v>
      </c>
      <c r="B23" s="17" t="n">
        <f aca="false">IF(N8=0,0,(N8+N9+N13+N14+N15)/N8)</f>
        <v>0.279486916940491</v>
      </c>
    </row>
    <row r="24" customFormat="false" ht="15" hidden="false" customHeight="false" outlineLevel="0" collapsed="false">
      <c r="A24" s="0" t="s">
        <v>98</v>
      </c>
      <c r="B24" s="17" t="n">
        <f aca="false">IF(N8=0,0,N12/N8)</f>
        <v>0.474957972242132</v>
      </c>
    </row>
    <row r="25" customFormat="false" ht="15" hidden="false" customHeight="false" outlineLevel="0" collapsed="false">
      <c r="A25" s="0" t="s">
        <v>99</v>
      </c>
      <c r="B25" s="14" t="n">
        <f aca="false">IF(B24&lt;=0,0,-(N13+N14+N15+N16+N18)/B24)</f>
        <v>1116519.84173803</v>
      </c>
    </row>
    <row r="27" customFormat="false" ht="15" hidden="false" customHeight="false" outlineLevel="0" collapsed="false">
      <c r="A27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3" customFormat="false" ht="15" hidden="false" customHeight="false" outlineLevel="0" collapsed="false">
      <c r="A3" s="0" t="s">
        <v>96</v>
      </c>
      <c r="B3" s="14" t="n">
        <f aca="false">'Budget P&amp;L'!N21</f>
        <v>61493.34</v>
      </c>
    </row>
    <row r="4" customFormat="false" ht="15" hidden="false" customHeight="false" outlineLevel="0" collapsed="false">
      <c r="A4" s="0" t="s">
        <v>103</v>
      </c>
      <c r="B4" s="14" t="n">
        <f aca="false">Assumptions!$B$16</f>
        <v>45500</v>
      </c>
    </row>
    <row r="5" customFormat="false" ht="15" hidden="false" customHeight="false" outlineLevel="0" collapsed="false">
      <c r="A5" s="2" t="s">
        <v>104</v>
      </c>
      <c r="B5" s="14" t="n">
        <f aca="false">Assumptions!$B$26*'Budget P&amp;L'!N8/365</f>
        <v>229574.301369863</v>
      </c>
    </row>
    <row r="6" customFormat="false" ht="15" hidden="false" customHeight="false" outlineLevel="0" collapsed="false">
      <c r="A6" s="0" t="s">
        <v>105</v>
      </c>
      <c r="B6" s="14" t="n">
        <f aca="false">Assumptions!$B$29-B5</f>
        <v>425.698630136991</v>
      </c>
    </row>
    <row r="7" customFormat="false" ht="15" hidden="false" customHeight="false" outlineLevel="0" collapsed="false">
      <c r="A7" s="2" t="s">
        <v>106</v>
      </c>
      <c r="B7" s="14" t="n">
        <f aca="false">Assumptions!$B$27*-('Budget P&amp;L'!N9+'Budget P&amp;L'!N13+'Budget P&amp;L'!N14)/365</f>
        <v>229912.493150685</v>
      </c>
    </row>
    <row r="8" customFormat="false" ht="15" hidden="false" customHeight="false" outlineLevel="0" collapsed="false">
      <c r="A8" s="0" t="s">
        <v>107</v>
      </c>
      <c r="B8" s="14" t="n">
        <f aca="false">Assumptions!$B$30-B7</f>
        <v>20087.5068493151</v>
      </c>
    </row>
    <row r="9" customFormat="false" ht="15" hidden="false" customHeight="false" outlineLevel="0" collapsed="false">
      <c r="A9" s="2" t="s">
        <v>108</v>
      </c>
      <c r="B9" s="14" t="n">
        <f aca="false">Assumptions!$B$28*-'Budget P&amp;L'!N9/365</f>
        <v>103476.723287671</v>
      </c>
    </row>
    <row r="10" customFormat="false" ht="15" hidden="false" customHeight="false" outlineLevel="0" collapsed="false">
      <c r="A10" s="0" t="s">
        <v>109</v>
      </c>
      <c r="B10" s="14" t="n">
        <f aca="false">B9-Assumptions!$B$31</f>
        <v>8476.72328767124</v>
      </c>
    </row>
    <row r="11" customFormat="false" ht="15" hidden="false" customHeight="false" outlineLevel="0" collapsed="false">
      <c r="A11" s="3" t="s">
        <v>110</v>
      </c>
      <c r="B11" s="15" t="n">
        <f aca="false">B3+B4+B6+B8+B10</f>
        <v>135983.268767123</v>
      </c>
    </row>
    <row r="12" customFormat="false" ht="15" hidden="false" customHeight="false" outlineLevel="0" collapsed="false">
      <c r="A12" s="0" t="s">
        <v>111</v>
      </c>
      <c r="B12" s="14" t="n">
        <f aca="false">-Assumptions!$B$24</f>
        <v>-60000</v>
      </c>
    </row>
    <row r="13" customFormat="false" ht="15" hidden="false" customHeight="false" outlineLevel="0" collapsed="false">
      <c r="A13" s="0" t="s">
        <v>52</v>
      </c>
      <c r="B13" s="14" t="n">
        <f aca="false">-Assumptions!$B$25</f>
        <v>-20000</v>
      </c>
    </row>
    <row r="14" customFormat="false" ht="15" hidden="false" customHeight="false" outlineLevel="0" collapsed="false">
      <c r="A14" s="3" t="s">
        <v>112</v>
      </c>
      <c r="B14" s="15" t="n">
        <f aca="false">B11+B12+B13</f>
        <v>55983.2687671233</v>
      </c>
    </row>
    <row r="15" customFormat="false" ht="15" hidden="false" customHeight="false" outlineLevel="0" collapsed="false">
      <c r="A15" s="0" t="s">
        <v>61</v>
      </c>
      <c r="B15" s="14" t="n">
        <f aca="false">Assumptions!$B$32</f>
        <v>42000</v>
      </c>
    </row>
    <row r="16" customFormat="false" ht="15" hidden="false" customHeight="false" outlineLevel="0" collapsed="false">
      <c r="A16" s="3" t="s">
        <v>113</v>
      </c>
      <c r="B16" s="20" t="n">
        <f aca="false">B14+B15</f>
        <v>97983.2687671233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2026-10-03T10:25:15Z</dcterms:created>
  <dc:creator>openpyxl</dc:creator>
  <dc:description/>
  <dc:language>en-US</dc:language>
  <cp:lastModifiedBy/>
  <dcterms:modified xsi:type="dcterms:W3CDTF">2026-10-03T10:25:15Z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