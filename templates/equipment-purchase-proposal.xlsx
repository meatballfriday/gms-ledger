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Proposal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<sst xmlns="http://schemas.openxmlformats.org/spreadsheetml/2006/main" count="64" uniqueCount="63">
  <si>
    <t xml:space="preserve">Equipment purchase proposal</t>
  </si>
  <si>
    <t xml:space="preserve">The GM's Ledger course template. Example figures are for BraceWorks Medical, a fictional company: replace them with your own.</t>
  </si>
  <si>
    <t xml:space="preserve">What it's for</t>
  </si>
  <si>
    <t xml:space="preserve">A one-page case for any investment over your approval threshold, with payback, NPV, IRR and a sensitivity test (Module 14).</t>
  </si>
  <si>
    <t xml:space="preserve">How to use it</t>
  </si>
  <si>
    <t xml:space="preserve">1. Describe the item and name the person who owns the savings.</t>
  </si>
  <si>
    <t xml:space="preserve">2. List every investment cost: price, installation, validation, training and any extra working capital.</t>
  </si>
  <si>
    <t xml:space="preserve">3. List yearly benefits and running costs. Labour savings count only if named people or overtime really go.</t>
  </si>
  <si>
    <t xml:space="preserve">4. Set the ramp-up, useful life, resale value, discount rate and sensitivity percentage.</t>
  </si>
  <si>
    <t xml:space="preserve">5. Read NPV, IRR, payback and the sensitivity result. Agree a 12-month review date when approved.</t>
  </si>
  <si>
    <t xml:space="preserve">Colour legend</t>
  </si>
  <si>
    <t xml:space="preserve">Blue text on yellow: an input. Type your own figures here.</t>
  </si>
  <si>
    <t xml:space="preserve">Black text: a formula. Don't overwrite these.</t>
  </si>
  <si>
    <t xml:space="preserve">Green text: a figure brought in from another sheet.</t>
  </si>
  <si>
    <t xml:space="preserve">US dollars, before tax. Example: BraceWorks' automatic fabric cutter (Module 14).</t>
  </si>
  <si>
    <t xml:space="preserve">Item</t>
  </si>
  <si>
    <t xml:space="preserve">Automatic fabric cutting table</t>
  </si>
  <si>
    <t xml:space="preserve">Requested by</t>
  </si>
  <si>
    <t xml:space="preserve">Production manager</t>
  </si>
  <si>
    <t xml:space="preserve">Owner of the savings</t>
  </si>
  <si>
    <t xml:space="preserve">Production manager (fabric waste, cutting labour)</t>
  </si>
  <si>
    <t xml:space="preserve">Date</t>
  </si>
  <si>
    <t xml:space="preserve">2026-04-09</t>
  </si>
  <si>
    <t xml:space="preserve">Investment (year 0)</t>
  </si>
  <si>
    <t xml:space="preserve">   Machine and software</t>
  </si>
  <si>
    <t xml:space="preserve">   Installation and electrical work</t>
  </si>
  <si>
    <t xml:space="preserve">   Validation and training</t>
  </si>
  <si>
    <t xml:space="preserve">   Extra working capital</t>
  </si>
  <si>
    <t xml:space="preserve">Total investment</t>
  </si>
  <si>
    <t xml:space="preserve">Yearly cash benefits and costs</t>
  </si>
  <si>
    <t xml:space="preserve">   Material saved</t>
  </si>
  <si>
    <t xml:space="preserve">   Labour saved (named people and dates)</t>
  </si>
  <si>
    <t xml:space="preserve">   Extra contribution from capacity</t>
  </si>
  <si>
    <t xml:space="preserve">   Running costs (maintenance, licences)</t>
  </si>
  <si>
    <t xml:space="preserve">Net yearly benefit</t>
  </si>
  <si>
    <t xml:space="preserve">Year 1 benefit while ramping up (% of full)</t>
  </si>
  <si>
    <t xml:space="preserve">Useful life (years, up to 10)</t>
  </si>
  <si>
    <t xml:space="preserve">Resale value at the end</t>
  </si>
  <si>
    <t xml:space="preserve">Discount rate (your cost of capital)</t>
  </si>
  <si>
    <t xml:space="preserve">Sensitivity: benefits at this % of plan</t>
  </si>
  <si>
    <t xml:space="preserve">Cash flows</t>
  </si>
  <si>
    <t xml:space="preserve">Year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</si>
  <si>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</si>
  <si>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</si>
  <si>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</si>
  <si>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</si>
  <si>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</si>
  <si>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</si>
  <si>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</si>
  <si>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</si>
  <si>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</si>
  <si>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</si>
  <si>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</si>
  <si>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Plan</t>
  </si>
  <si>
    <t xml:space="preserve">Cumulative</t>
  </si>
  <si>
    <t xml:space="preserve">Sensitivity case</t>
  </si>
  <si>
    <t xml:space="preserve">Results</t>
  </si>
  <si>
    <t xml:space="preserve">Net present value (NPV)</t>
  </si>
  <si>
    <t xml:space="preserve">Internal rate of return (IRR)</t>
  </si>
  <si>
    <t xml:space="preserve">Payback (years)</t>
  </si>
  <si>
    <t xml:space="preserve">NPV in the sensitivity case</t>
  </si>
  <si>
    <t xml:space="preserve">Recommendation</t>
  </si>
  <si>
    <t xml:space="preserve">Before approving: are labour savings named? Is validation included? Is it funded with a term loan or lease, not the overdraft? Who will do the 12-month review?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</si>
</sst>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;&quot;($&quot;#,##0\);\-"/>
    <numFmt numFmtId="166" formatCode="0.0%;\(0.0%\);\-"/>
    <numFmt numFmtId="167" formatCode="0"/>
    <numFmt numFmtId="168" formatCode="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C6A61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16232A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8D0CB"/>
        </patternFill>
      </fill>
    </dxf>
    <dxf>
      <fill>
        <patternFill>
          <bgColor rgb="FFFCE8C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C6A61"/>
      <rgbColor rgb="FFC0C0C0"/>
      <rgbColor rgb="FF808080"/>
      <rgbColor rgb="FF9999FF"/>
      <rgbColor rgb="FF993366"/>
      <rgbColor rgb="FFFCE8C3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D0CB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623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45" hidden="false" customHeight="true" outlineLevel="0" collapsed="false">
      <c r="A5" s="4" t="s">
        <v>3</v>
      </c>
    </row>
    <row r="7" customFormat="false" ht="15" hidden="false" customHeight="false" outlineLevel="0" collapsed="false">
      <c r="A7" s="3" t="s">
        <v>4</v>
      </c>
    </row>
    <row r="8" customFormat="false" ht="30" hidden="false" customHeight="true" outlineLevel="0" collapsed="false">
      <c r="A8" s="4" t="s">
        <v>5</v>
      </c>
    </row>
    <row r="9" customFormat="false" ht="30" hidden="false" customHeight="true" outlineLevel="0" collapsed="false">
      <c r="A9" s="4" t="s">
        <v>6</v>
      </c>
    </row>
    <row r="10" customFormat="false" ht="30" hidden="false" customHeight="true" outlineLevel="0" collapsed="false">
      <c r="A10" s="4" t="s">
        <v>7</v>
      </c>
    </row>
    <row r="11" customFormat="false" ht="30" hidden="false" customHeight="true" outlineLevel="0" collapsed="false">
      <c r="A11" s="4" t="s">
        <v>8</v>
      </c>
    </row>
    <row r="12" customFormat="false" ht="30" hidden="false" customHeight="true" outlineLevel="0" collapsed="false">
      <c r="A12" s="4" t="s">
        <v>9</v>
      </c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5" t="s">
        <v>11</v>
      </c>
    </row>
    <row r="16" customFormat="false" ht="15" hidden="false" customHeight="false" outlineLevel="0" collapsed="false">
      <c r="A16" s="0" t="s">
        <v>12</v>
      </c>
    </row>
    <row r="17" customFormat="false" ht="15" hidden="false" customHeight="false" outlineLevel="0" collapsed="false">
      <c r="A17" s="6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30"/>
    <col collapsed="false" customWidth="true" hidden="false" outlineLevel="0" max="12" min="3" style="0" width="11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14</v>
      </c>
    </row>
    <row r="4" customFormat="false" ht="15" hidden="false" customHeight="false" outlineLevel="0" collapsed="false">
      <c r="A4" s="3" t="s">
        <v>15</v>
      </c>
      <c r="B4" s="5" t="s">
        <v>16</v>
      </c>
    </row>
    <row r="5" customFormat="false" ht="15" hidden="false" customHeight="false" outlineLevel="0" collapsed="false">
      <c r="A5" s="3" t="s">
        <v>17</v>
      </c>
      <c r="B5" s="5" t="s">
        <v>18</v>
      </c>
    </row>
    <row r="6" customFormat="false" ht="15" hidden="false" customHeight="false" outlineLevel="0" collapsed="false">
      <c r="A6" s="3" t="s">
        <v>19</v>
      </c>
      <c r="B6" s="5" t="s">
        <v>20</v>
      </c>
    </row>
    <row r="7" customFormat="false" ht="15" hidden="false" customHeight="false" outlineLevel="0" collapsed="false">
      <c r="A7" s="3" t="s">
        <v>21</v>
      </c>
      <c r="B7" s="5" t="s">
        <v>22</v>
      </c>
    </row>
    <row r="9" customFormat="false" ht="15" hidden="false" customHeight="false" outlineLevel="0" collapsed="false">
      <c r="A9" s="3" t="s">
        <v>23</v>
      </c>
    </row>
    <row r="10" customFormat="false" ht="15" hidden="false" customHeight="false" outlineLevel="0" collapsed="false">
      <c r="A10" s="0" t="s">
        <v>24</v>
      </c>
      <c r="B10" s="7" t="n">
        <v>52000</v>
      </c>
    </row>
    <row r="11" customFormat="false" ht="15" hidden="false" customHeight="false" outlineLevel="0" collapsed="false">
      <c r="A11" s="0" t="s">
        <v>25</v>
      </c>
      <c r="B11" s="7" t="n">
        <v>3000</v>
      </c>
    </row>
    <row r="12" customFormat="false" ht="15" hidden="false" customHeight="false" outlineLevel="0" collapsed="false">
      <c r="A12" s="0" t="s">
        <v>26</v>
      </c>
      <c r="B12" s="7" t="n">
        <v>5000</v>
      </c>
    </row>
    <row r="13" customFormat="false" ht="15" hidden="false" customHeight="false" outlineLevel="0" collapsed="false">
      <c r="A13" s="0" t="s">
        <v>27</v>
      </c>
      <c r="B13" s="7" t="n">
        <v>0</v>
      </c>
    </row>
    <row r="14" customFormat="false" ht="15" hidden="false" customHeight="false" outlineLevel="0" collapsed="false">
      <c r="A14" s="3" t="s">
        <v>28</v>
      </c>
      <c r="B14" s="8" t="n">
        <f aca="false">SUM(B10:B13)</f>
        <v>60000</v>
      </c>
    </row>
    <row r="16" customFormat="false" ht="15" hidden="false" customHeight="false" outlineLevel="0" collapsed="false">
      <c r="A16" s="3" t="s">
        <v>29</v>
      </c>
    </row>
    <row r="17" customFormat="false" ht="15" hidden="false" customHeight="false" outlineLevel="0" collapsed="false">
      <c r="A17" s="0" t="s">
        <v>30</v>
      </c>
      <c r="B17" s="7" t="n">
        <v>10800</v>
      </c>
    </row>
    <row r="18" customFormat="false" ht="15" hidden="false" customHeight="false" outlineLevel="0" collapsed="false">
      <c r="A18" s="0" t="s">
        <v>31</v>
      </c>
      <c r="B18" s="7" t="n">
        <v>8000</v>
      </c>
    </row>
    <row r="19" customFormat="false" ht="15" hidden="false" customHeight="false" outlineLevel="0" collapsed="false">
      <c r="A19" s="0" t="s">
        <v>32</v>
      </c>
      <c r="B19" s="7" t="n">
        <v>6000</v>
      </c>
    </row>
    <row r="20" customFormat="false" ht="15" hidden="false" customHeight="false" outlineLevel="0" collapsed="false">
      <c r="A20" s="0" t="s">
        <v>33</v>
      </c>
      <c r="B20" s="7" t="n">
        <v>-2500</v>
      </c>
    </row>
    <row r="21" customFormat="false" ht="15" hidden="false" customHeight="false" outlineLevel="0" collapsed="false">
      <c r="A21" s="3" t="s">
        <v>34</v>
      </c>
      <c r="B21" s="8" t="n">
        <f aca="false">SUM(B17:B20)</f>
        <v>22300</v>
      </c>
    </row>
    <row r="23" customFormat="false" ht="15" hidden="false" customHeight="false" outlineLevel="0" collapsed="false">
      <c r="A23" s="0" t="s">
        <v>35</v>
      </c>
      <c r="B23" s="9" t="n">
        <v>1</v>
      </c>
    </row>
    <row r="24" customFormat="false" ht="15" hidden="false" customHeight="false" outlineLevel="0" collapsed="false">
      <c r="A24" s="0" t="s">
        <v>36</v>
      </c>
      <c r="B24" s="10" t="n">
        <v>8</v>
      </c>
    </row>
    <row r="25" customFormat="false" ht="15" hidden="false" customHeight="false" outlineLevel="0" collapsed="false">
      <c r="A25" s="0" t="s">
        <v>37</v>
      </c>
      <c r="B25" s="7" t="n">
        <v>5000</v>
      </c>
    </row>
    <row r="26" customFormat="false" ht="15" hidden="false" customHeight="false" outlineLevel="0" collapsed="false">
      <c r="A26" s="0" t="s">
        <v>38</v>
      </c>
      <c r="B26" s="9" t="n">
        <v>0.1</v>
      </c>
    </row>
    <row r="27" customFormat="false" ht="15" hidden="false" customHeight="false" outlineLevel="0" collapsed="false">
      <c r="A27" s="0" t="s">
        <v>39</v>
      </c>
      <c r="B27" s="9" t="n">
        <v>0.7</v>
      </c>
    </row>
    <row r="29" customFormat="false" ht="15" hidden="false" customHeight="false" outlineLevel="0" collapsed="false">
      <c r="A29" s="3" t="s">
        <v>40</v>
      </c>
    </row>
    <row r="30" customFormat="false" ht="15" hidden="false" customHeight="false" outlineLevel="0" collapsed="false">
      <c r="A30" s="11" t="s">
        <v>41</v>
      </c>
      <c r="B30" s="12" t="s">
        <v>42</v>
      </c>
      <c r="C30" s="12" t="s">
        <v>43</v>
      </c>
      <c r="D30" s="12" t="s">
        <v>44</v>
      </c>
      <c r="E30" s="12" t="s">
        <v>45</v>
      </c>
      <c r="F30" s="12" t="s">
        <v>46</v>
      </c>
      <c r="G30" s="12" t="s">
        <v>47</v>
      </c>
      <c r="H30" s="12" t="s">
        <v>48</v>
      </c>
      <c r="I30" s="12" t="s">
        <v>49</v>
      </c>
      <c r="J30" s="12" t="s">
        <v>50</v>
      </c>
      <c r="K30" s="12" t="s">
        <v>51</v>
      </c>
      <c r="L30" s="12" t="s">
        <v>52</v>
      </c>
    </row>
    <row r="31" customFormat="false" ht="15" hidden="false" customHeight="false" outlineLevel="0" collapsed="false">
      <c r="A31" s="0" t="s">
        <v>53</v>
      </c>
      <c r="B31" s="13" t="n">
        <f aca="false">-B14</f>
        <v>-60000</v>
      </c>
      <c r="C31" s="13" t="n">
        <f aca="false">IF(1&lt;=$B$24,$B$21*IF(1=1,$B$23,1)+IF(1=$B$24,$B$25+$B$13,0),0)</f>
        <v>22300</v>
      </c>
      <c r="D31" s="13" t="n">
        <f aca="false">IF(2&lt;=$B$24,$B$21*IF(2=1,$B$23,1)+IF(2=$B$24,$B$25+$B$13,0),0)</f>
        <v>22300</v>
      </c>
      <c r="E31" s="13" t="n">
        <f aca="false">IF(3&lt;=$B$24,$B$21*IF(3=1,$B$23,1)+IF(3=$B$24,$B$25+$B$13,0),0)</f>
        <v>22300</v>
      </c>
      <c r="F31" s="13" t="n">
        <f aca="false">IF(4&lt;=$B$24,$B$21*IF(4=1,$B$23,1)+IF(4=$B$24,$B$25+$B$13,0),0)</f>
        <v>22300</v>
      </c>
      <c r="G31" s="13" t="n">
        <f aca="false">IF(5&lt;=$B$24,$B$21*IF(5=1,$B$23,1)+IF(5=$B$24,$B$25+$B$13,0),0)</f>
        <v>22300</v>
      </c>
      <c r="H31" s="13" t="n">
        <f aca="false">IF(6&lt;=$B$24,$B$21*IF(6=1,$B$23,1)+IF(6=$B$24,$B$25+$B$13,0),0)</f>
        <v>22300</v>
      </c>
      <c r="I31" s="13" t="n">
        <f aca="false">IF(7&lt;=$B$24,$B$21*IF(7=1,$B$23,1)+IF(7=$B$24,$B$25+$B$13,0),0)</f>
        <v>22300</v>
      </c>
      <c r="J31" s="13" t="n">
        <f aca="false">IF(8&lt;=$B$24,$B$21*IF(8=1,$B$23,1)+IF(8=$B$24,$B$25+$B$13,0),0)</f>
        <v>27300</v>
      </c>
      <c r="K31" s="13" t="n">
        <f aca="false">IF(9&lt;=$B$24,$B$21*IF(9=1,$B$23,1)+IF(9=$B$24,$B$25+$B$13,0),0)</f>
        <v>0</v>
      </c>
      <c r="L31" s="13" t="n">
        <f aca="false">IF(10&lt;=$B$24,$B$21*IF(10=1,$B$23,1)+IF(10=$B$24,$B$25+$B$13,0),0)</f>
        <v>0</v>
      </c>
    </row>
    <row r="32" customFormat="false" ht="15" hidden="false" customHeight="false" outlineLevel="0" collapsed="false">
      <c r="A32" s="0" t="s">
        <v>54</v>
      </c>
      <c r="B32" s="13" t="n">
        <f aca="false">SUM($B$31:B31)</f>
        <v>-60000</v>
      </c>
      <c r="C32" s="13" t="n">
        <f aca="false">SUM($B$31:C31)</f>
        <v>-37700</v>
      </c>
      <c r="D32" s="13" t="n">
        <f aca="false">SUM($B$31:D31)</f>
        <v>-15400</v>
      </c>
      <c r="E32" s="13" t="n">
        <f aca="false">SUM($B$31:E31)</f>
        <v>6900</v>
      </c>
      <c r="F32" s="13" t="n">
        <f aca="false">SUM($B$31:F31)</f>
        <v>29200</v>
      </c>
      <c r="G32" s="13" t="n">
        <f aca="false">SUM($B$31:G31)</f>
        <v>51500</v>
      </c>
      <c r="H32" s="13" t="n">
        <f aca="false">SUM($B$31:H31)</f>
        <v>73800</v>
      </c>
      <c r="I32" s="13" t="n">
        <f aca="false">SUM($B$31:I31)</f>
        <v>96100</v>
      </c>
      <c r="J32" s="13" t="n">
        <f aca="false">SUM($B$31:J31)</f>
        <v>123400</v>
      </c>
      <c r="K32" s="13" t="n">
        <f aca="false">SUM($B$31:K31)</f>
        <v>123400</v>
      </c>
      <c r="L32" s="13" t="n">
        <f aca="false">SUM($B$31:L31)</f>
        <v>123400</v>
      </c>
    </row>
    <row r="33" customFormat="false" ht="15" hidden="false" customHeight="false" outlineLevel="0" collapsed="false">
      <c r="A33" s="0" t="s">
        <v>55</v>
      </c>
      <c r="B33" s="13" t="n">
        <f aca="false">-B14</f>
        <v>-60000</v>
      </c>
      <c r="C33" s="13" t="n">
        <f aca="false">IF(1&lt;=$B$24,$B$21*$B$27*IF(1=1,$B$23,1)+IF(1=$B$24,$B$25+$B$13,0),0)</f>
        <v>15610</v>
      </c>
      <c r="D33" s="13" t="n">
        <f aca="false">IF(2&lt;=$B$24,$B$21*$B$27*IF(2=1,$B$23,1)+IF(2=$B$24,$B$25+$B$13,0),0)</f>
        <v>15610</v>
      </c>
      <c r="E33" s="13" t="n">
        <f aca="false">IF(3&lt;=$B$24,$B$21*$B$27*IF(3=1,$B$23,1)+IF(3=$B$24,$B$25+$B$13,0),0)</f>
        <v>15610</v>
      </c>
      <c r="F33" s="13" t="n">
        <f aca="false">IF(4&lt;=$B$24,$B$21*$B$27*IF(4=1,$B$23,1)+IF(4=$B$24,$B$25+$B$13,0),0)</f>
        <v>15610</v>
      </c>
      <c r="G33" s="13" t="n">
        <f aca="false">IF(5&lt;=$B$24,$B$21*$B$27*IF(5=1,$B$23,1)+IF(5=$B$24,$B$25+$B$13,0),0)</f>
        <v>15610</v>
      </c>
      <c r="H33" s="13" t="n">
        <f aca="false">IF(6&lt;=$B$24,$B$21*$B$27*IF(6=1,$B$23,1)+IF(6=$B$24,$B$25+$B$13,0),0)</f>
        <v>15610</v>
      </c>
      <c r="I33" s="13" t="n">
        <f aca="false">IF(7&lt;=$B$24,$B$21*$B$27*IF(7=1,$B$23,1)+IF(7=$B$24,$B$25+$B$13,0),0)</f>
        <v>15610</v>
      </c>
      <c r="J33" s="13" t="n">
        <f aca="false">IF(8&lt;=$B$24,$B$21*$B$27*IF(8=1,$B$23,1)+IF(8=$B$24,$B$25+$B$13,0),0)</f>
        <v>20610</v>
      </c>
      <c r="K33" s="13" t="n">
        <f aca="false">IF(9&lt;=$B$24,$B$21*$B$27*IF(9=1,$B$23,1)+IF(9=$B$24,$B$25+$B$13,0),0)</f>
        <v>0</v>
      </c>
      <c r="L33" s="13" t="n">
        <f aca="false">IF(10&lt;=$B$24,$B$21*$B$27*IF(10=1,$B$23,1)+IF(10=$B$24,$B$25+$B$13,0),0)</f>
        <v>0</v>
      </c>
    </row>
    <row r="35" customFormat="false" ht="15" hidden="false" customHeight="false" outlineLevel="0" collapsed="false">
      <c r="A35" s="3" t="s">
        <v>56</v>
      </c>
    </row>
    <row r="36" customFormat="false" ht="15" hidden="false" customHeight="false" outlineLevel="0" collapsed="false">
      <c r="A36" s="0" t="s">
        <v>57</v>
      </c>
      <c r="B36" s="14" t="n">
        <f aca="false">B31+NPV($B$26,C31:L31)</f>
        <v>61301.3911142781</v>
      </c>
    </row>
    <row r="37" customFormat="false" ht="15" hidden="false" customHeight="false" outlineLevel="0" collapsed="false">
      <c r="A37" s="0" t="s">
        <v>58</v>
      </c>
      <c r="B37" s="15" t="n">
        <f aca="false">IFERROR(IRR(B31:L31),"n/a")</f>
        <v>0.338285017992447</v>
      </c>
    </row>
    <row r="38" customFormat="false" ht="15" hidden="false" customHeight="false" outlineLevel="0" collapsed="false">
      <c r="A38" s="0" t="s">
        <v>59</v>
      </c>
      <c r="B38" s="16" t="n">
        <f aca="false">IFERROR(MATCH(TRUE(),INDEX(C32:L32&gt;=0,0),0)-1+(-INDEX(B32:L32,MATCH(TRUE(),INDEX(C32:L32&gt;=0,0),0)))/INDEX(C31:L31,MATCH(TRUE(),INDEX(C32:L32&gt;=0,0),0)),"Never")</f>
        <v>2.69058295964126</v>
      </c>
    </row>
    <row r="39" customFormat="false" ht="15" hidden="false" customHeight="false" outlineLevel="0" collapsed="false">
      <c r="A39" s="0" t="s">
        <v>60</v>
      </c>
      <c r="B39" s="13" t="n">
        <f aca="false">B33+NPV($B$26,C33:L33)</f>
        <v>25610.7348503092</v>
      </c>
    </row>
    <row r="40" customFormat="false" ht="15" hidden="false" customHeight="false" outlineLevel="0" collapsed="false">
      <c r="A40" s="0" t="s">
        <v>61</v>
      </c>
      <c r="B40" s="0" t="str">
        <f aca="false">IF(AND(B36&gt;0,B39&gt;0),"Robust: positive NPV even in the sensitivity case",IF(B36&gt;0,"Positive NPV, but fragile: check the assumptions","Negative NPV: don't proceed as proposed"))</f>
        <v>Robust: positive NPV even in the sensitivity case</v>
      </c>
    </row>
    <row r="42" customFormat="false" ht="15" hidden="false" customHeight="false" outlineLevel="0" collapsed="false">
      <c r="A42" s="2" t="s">
        <v>62</v>
      </c>
    </row>
  </sheetData>
  <conditionalFormatting sqref="B36">
    <cfRule type="cellIs" priority="2" operator="lessThan" aboveAverage="0" equalAverage="0" bottom="0" percent="0" rank="0" text="" dxfId="0">
      <formula>0</formula>
    </cfRule>
  </conditionalFormatting>
  <conditionalFormatting sqref="B39">
    <cfRule type="cellIs" priority="3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2026-10-03T10:25:15Z</dcterms:created>
  <dc:creator>openpyxl</dc:creator>
  <dc:description/>
  <dc:language>en-US</dc:language>
  <cp:lastModifiedBy/>
  <dcterms:modified xsi:type="dcterms:W3CDTF">2026-10-03T10:25:15Z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